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w\Desktop\Just a Temp Folder with Cells for Declustering\"/>
    </mc:Choice>
  </mc:AlternateContent>
  <xr:revisionPtr revIDLastSave="0" documentId="13_ncr:1_{30A58C5F-4D6E-456F-863A-D72026058635}" xr6:coauthVersionLast="47" xr6:coauthVersionMax="47" xr10:uidLastSave="{00000000-0000-0000-0000-000000000000}"/>
  <bookViews>
    <workbookView xWindow="-108" yWindow="-108" windowWidth="23256" windowHeight="12456" activeTab="1" xr2:uid="{681DE4BE-A271-4550-A5FA-79DD3557E827}"/>
  </bookViews>
  <sheets>
    <sheet name="Big Colonies" sheetId="1" r:id="rId1"/>
    <sheet name="Hard" sheetId="2" r:id="rId2"/>
    <sheet name="Sparse" sheetId="3" r:id="rId3"/>
    <sheet name="Other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4" l="1"/>
  <c r="O3" i="4"/>
  <c r="O4" i="4"/>
  <c r="O5" i="4"/>
  <c r="P5" i="4" s="1"/>
  <c r="O6" i="4"/>
  <c r="P6" i="4" s="1"/>
  <c r="O7" i="4"/>
  <c r="O8" i="4"/>
  <c r="P8" i="4" s="1"/>
  <c r="O9" i="4"/>
  <c r="P9" i="4" s="1"/>
  <c r="O10" i="4"/>
  <c r="O11" i="4"/>
  <c r="O12" i="4"/>
  <c r="P12" i="4" s="1"/>
  <c r="O13" i="4"/>
  <c r="O14" i="4"/>
  <c r="O15" i="4"/>
  <c r="P15" i="4" s="1"/>
  <c r="O16" i="4"/>
  <c r="O17" i="4"/>
  <c r="O18" i="4"/>
  <c r="O19" i="4"/>
  <c r="P19" i="4" s="1"/>
  <c r="O20" i="4"/>
  <c r="O21" i="4"/>
  <c r="O22" i="4"/>
  <c r="O23" i="4"/>
  <c r="O24" i="4"/>
  <c r="O25" i="4"/>
  <c r="O26" i="4"/>
  <c r="O27" i="4"/>
  <c r="P27" i="4" s="1"/>
  <c r="O28" i="4"/>
  <c r="O29" i="4"/>
  <c r="P29" i="4" s="1"/>
  <c r="O30" i="4"/>
  <c r="P2" i="4"/>
  <c r="O2" i="4"/>
  <c r="N3" i="4"/>
  <c r="N4" i="4"/>
  <c r="P4" i="4" s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P24" i="4" s="1"/>
  <c r="N25" i="4"/>
  <c r="N26" i="4"/>
  <c r="P26" i="4" s="1"/>
  <c r="N27" i="4"/>
  <c r="N28" i="4"/>
  <c r="N29" i="4"/>
  <c r="N30" i="4"/>
  <c r="P30" i="4" s="1"/>
  <c r="N2" i="4"/>
  <c r="P4" i="1"/>
  <c r="O3" i="1"/>
  <c r="O4" i="1"/>
  <c r="O5" i="1"/>
  <c r="O6" i="1"/>
  <c r="O7" i="1"/>
  <c r="O8" i="1"/>
  <c r="O9" i="1"/>
  <c r="O10" i="1"/>
  <c r="O2" i="1"/>
  <c r="N3" i="1"/>
  <c r="N4" i="1"/>
  <c r="N5" i="1"/>
  <c r="N6" i="1"/>
  <c r="N7" i="1"/>
  <c r="N8" i="1"/>
  <c r="N9" i="1"/>
  <c r="N10" i="1"/>
  <c r="N2" i="1"/>
  <c r="P38" i="3"/>
  <c r="P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P2" i="3"/>
  <c r="O2" i="3"/>
  <c r="N31" i="3"/>
  <c r="N32" i="3"/>
  <c r="N33" i="3"/>
  <c r="N34" i="3"/>
  <c r="N35" i="3"/>
  <c r="P35" i="3" s="1"/>
  <c r="N36" i="3"/>
  <c r="N3" i="3"/>
  <c r="P3" i="3" s="1"/>
  <c r="N4" i="3"/>
  <c r="N5" i="3"/>
  <c r="N6" i="3"/>
  <c r="N7" i="3"/>
  <c r="N8" i="3"/>
  <c r="N9" i="3"/>
  <c r="P9" i="3" s="1"/>
  <c r="N10" i="3"/>
  <c r="N11" i="3"/>
  <c r="N12" i="3"/>
  <c r="N13" i="3"/>
  <c r="N14" i="3"/>
  <c r="N15" i="3"/>
  <c r="P15" i="3" s="1"/>
  <c r="N16" i="3"/>
  <c r="P16" i="3" s="1"/>
  <c r="N17" i="3"/>
  <c r="P17" i="3" s="1"/>
  <c r="N18" i="3"/>
  <c r="N19" i="3"/>
  <c r="P19" i="3" s="1"/>
  <c r="N20" i="3"/>
  <c r="P20" i="3" s="1"/>
  <c r="N21" i="3"/>
  <c r="N22" i="3"/>
  <c r="P22" i="3" s="1"/>
  <c r="N23" i="3"/>
  <c r="P23" i="3" s="1"/>
  <c r="N24" i="3"/>
  <c r="N25" i="3"/>
  <c r="N26" i="3"/>
  <c r="P26" i="3" s="1"/>
  <c r="N27" i="3"/>
  <c r="P27" i="3" s="1"/>
  <c r="N28" i="3"/>
  <c r="N29" i="3"/>
  <c r="P29" i="3" s="1"/>
  <c r="N30" i="3"/>
  <c r="N2" i="3"/>
  <c r="O6" i="2"/>
  <c r="P6" i="2"/>
  <c r="N6" i="2"/>
  <c r="G2" i="2"/>
  <c r="O3" i="2"/>
  <c r="O4" i="2"/>
  <c r="O2" i="2"/>
  <c r="N3" i="2"/>
  <c r="P3" i="2" s="1"/>
  <c r="N4" i="2"/>
  <c r="N2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3" i="4"/>
  <c r="I24" i="4"/>
  <c r="I25" i="4"/>
  <c r="I26" i="4"/>
  <c r="I27" i="4"/>
  <c r="I28" i="4"/>
  <c r="I29" i="4"/>
  <c r="I30" i="4"/>
  <c r="I2" i="4"/>
  <c r="I3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I3" i="2"/>
  <c r="I4" i="2"/>
  <c r="I2" i="2"/>
  <c r="I3" i="1"/>
  <c r="I4" i="1"/>
  <c r="I5" i="1"/>
  <c r="I6" i="1"/>
  <c r="I7" i="1"/>
  <c r="I2" i="1"/>
  <c r="E30" i="4"/>
  <c r="F30" i="4"/>
  <c r="P28" i="4" l="1"/>
  <c r="N32" i="4"/>
  <c r="P25" i="4"/>
  <c r="P23" i="4"/>
  <c r="O32" i="4"/>
  <c r="P22" i="4"/>
  <c r="P21" i="4"/>
  <c r="P20" i="4"/>
  <c r="P18" i="4"/>
  <c r="P17" i="4"/>
  <c r="P16" i="4"/>
  <c r="P14" i="4"/>
  <c r="P13" i="4"/>
  <c r="P11" i="4"/>
  <c r="P10" i="4"/>
  <c r="P7" i="4"/>
  <c r="P10" i="1"/>
  <c r="P9" i="1"/>
  <c r="P8" i="1"/>
  <c r="P7" i="1"/>
  <c r="P6" i="1"/>
  <c r="P5" i="1"/>
  <c r="N12" i="1"/>
  <c r="P3" i="1"/>
  <c r="P2" i="1"/>
  <c r="O12" i="1"/>
  <c r="P36" i="3"/>
  <c r="P34" i="3"/>
  <c r="P33" i="3"/>
  <c r="P32" i="3"/>
  <c r="P31" i="3"/>
  <c r="P30" i="3"/>
  <c r="P28" i="3"/>
  <c r="P25" i="3"/>
  <c r="P24" i="3"/>
  <c r="P21" i="3"/>
  <c r="P18" i="3"/>
  <c r="O38" i="3"/>
  <c r="P14" i="3"/>
  <c r="N38" i="3"/>
  <c r="P13" i="3"/>
  <c r="P12" i="3"/>
  <c r="P11" i="3"/>
  <c r="P10" i="3"/>
  <c r="P8" i="3"/>
  <c r="P7" i="3"/>
  <c r="P5" i="3"/>
  <c r="P4" i="3"/>
  <c r="P4" i="2"/>
  <c r="P2" i="2"/>
  <c r="G30" i="4"/>
  <c r="E29" i="4"/>
  <c r="F29" i="4"/>
  <c r="E25" i="4"/>
  <c r="F25" i="4"/>
  <c r="E26" i="4"/>
  <c r="F26" i="4"/>
  <c r="G26" i="4" s="1"/>
  <c r="E27" i="4"/>
  <c r="F27" i="4"/>
  <c r="E28" i="4"/>
  <c r="G28" i="4" s="1"/>
  <c r="F28" i="4"/>
  <c r="E24" i="4"/>
  <c r="F24" i="4"/>
  <c r="E16" i="4"/>
  <c r="F16" i="4"/>
  <c r="E17" i="4"/>
  <c r="G17" i="4" s="1"/>
  <c r="F17" i="4"/>
  <c r="E18" i="4"/>
  <c r="F18" i="4"/>
  <c r="E19" i="4"/>
  <c r="F19" i="4"/>
  <c r="E20" i="4"/>
  <c r="G20" i="4" s="1"/>
  <c r="F20" i="4"/>
  <c r="E21" i="4"/>
  <c r="G21" i="4" s="1"/>
  <c r="F21" i="4"/>
  <c r="E22" i="4"/>
  <c r="E32" i="4" s="1"/>
  <c r="F22" i="4"/>
  <c r="F32" i="4" s="1"/>
  <c r="E23" i="4"/>
  <c r="F23" i="4"/>
  <c r="E10" i="4"/>
  <c r="F10" i="4"/>
  <c r="E11" i="4"/>
  <c r="F11" i="4"/>
  <c r="E12" i="4"/>
  <c r="F12" i="4"/>
  <c r="E13" i="4"/>
  <c r="F13" i="4"/>
  <c r="E14" i="4"/>
  <c r="F14" i="4"/>
  <c r="E15" i="4"/>
  <c r="F15" i="4"/>
  <c r="E9" i="4"/>
  <c r="F9" i="4"/>
  <c r="E3" i="4"/>
  <c r="F3" i="4"/>
  <c r="E4" i="4"/>
  <c r="F4" i="4"/>
  <c r="E5" i="4"/>
  <c r="F5" i="4"/>
  <c r="E6" i="4"/>
  <c r="F6" i="4"/>
  <c r="E7" i="4"/>
  <c r="F7" i="4"/>
  <c r="E8" i="4"/>
  <c r="F8" i="4"/>
  <c r="G2" i="3"/>
  <c r="E2" i="4"/>
  <c r="E2" i="3"/>
  <c r="F2" i="3"/>
  <c r="F2" i="4"/>
  <c r="G38" i="3"/>
  <c r="E38" i="3"/>
  <c r="F38" i="3"/>
  <c r="E36" i="3"/>
  <c r="G36" i="3"/>
  <c r="F36" i="3"/>
  <c r="E35" i="3"/>
  <c r="G35" i="3" s="1"/>
  <c r="F35" i="3"/>
  <c r="F34" i="3"/>
  <c r="G34" i="3" s="1"/>
  <c r="E34" i="3"/>
  <c r="E33" i="3"/>
  <c r="G33" i="3"/>
  <c r="F33" i="3"/>
  <c r="E32" i="3"/>
  <c r="G32" i="3" s="1"/>
  <c r="F32" i="3"/>
  <c r="E31" i="3"/>
  <c r="G31" i="3" s="1"/>
  <c r="F31" i="3"/>
  <c r="E30" i="3"/>
  <c r="G30" i="3" s="1"/>
  <c r="F30" i="3"/>
  <c r="E29" i="3"/>
  <c r="G29" i="3" s="1"/>
  <c r="F29" i="3"/>
  <c r="E28" i="3"/>
  <c r="G28" i="3"/>
  <c r="F28" i="3"/>
  <c r="E27" i="3"/>
  <c r="G27" i="3" s="1"/>
  <c r="F27" i="3"/>
  <c r="E26" i="3"/>
  <c r="G26" i="3" s="1"/>
  <c r="F26" i="3"/>
  <c r="E24" i="3"/>
  <c r="F24" i="3"/>
  <c r="E25" i="3"/>
  <c r="G25" i="3" s="1"/>
  <c r="F25" i="3"/>
  <c r="E21" i="3"/>
  <c r="G21" i="3" s="1"/>
  <c r="F21" i="3"/>
  <c r="E22" i="3"/>
  <c r="G22" i="3" s="1"/>
  <c r="F22" i="3"/>
  <c r="E23" i="3"/>
  <c r="F23" i="3"/>
  <c r="E18" i="3"/>
  <c r="F18" i="3"/>
  <c r="G18" i="3" s="1"/>
  <c r="E19" i="3"/>
  <c r="F19" i="3"/>
  <c r="E20" i="3"/>
  <c r="F20" i="3"/>
  <c r="E4" i="2"/>
  <c r="F4" i="2"/>
  <c r="G4" i="2"/>
  <c r="E3" i="3"/>
  <c r="F3" i="3"/>
  <c r="E4" i="3"/>
  <c r="F4" i="3"/>
  <c r="E5" i="3"/>
  <c r="F6" i="3"/>
  <c r="E6" i="3"/>
  <c r="G6" i="3" s="1"/>
  <c r="E7" i="3"/>
  <c r="E8" i="3"/>
  <c r="E9" i="3"/>
  <c r="E10" i="3"/>
  <c r="E11" i="3"/>
  <c r="E12" i="3"/>
  <c r="E13" i="3"/>
  <c r="E14" i="3"/>
  <c r="E15" i="3"/>
  <c r="E16" i="3"/>
  <c r="E17" i="3"/>
  <c r="F13" i="3"/>
  <c r="F14" i="3"/>
  <c r="F15" i="3"/>
  <c r="F16" i="3"/>
  <c r="F17" i="3"/>
  <c r="F5" i="3"/>
  <c r="F7" i="3"/>
  <c r="F8" i="3"/>
  <c r="F9" i="3"/>
  <c r="F10" i="3"/>
  <c r="F11" i="3"/>
  <c r="F12" i="3"/>
  <c r="F2" i="2"/>
  <c r="E2" i="2"/>
  <c r="E3" i="2"/>
  <c r="E6" i="2" s="1"/>
  <c r="F3" i="2"/>
  <c r="G3" i="2" s="1"/>
  <c r="E2" i="1"/>
  <c r="P32" i="4" l="1"/>
  <c r="P12" i="1"/>
  <c r="G29" i="4"/>
  <c r="G16" i="4"/>
  <c r="G24" i="4"/>
  <c r="G2" i="4"/>
  <c r="G9" i="4"/>
  <c r="G27" i="4"/>
  <c r="G25" i="4"/>
  <c r="G23" i="4"/>
  <c r="G22" i="4"/>
  <c r="G32" i="4" s="1"/>
  <c r="G19" i="4"/>
  <c r="G18" i="4"/>
  <c r="G14" i="4"/>
  <c r="G13" i="4"/>
  <c r="G6" i="4"/>
  <c r="G15" i="4"/>
  <c r="G11" i="4"/>
  <c r="G10" i="4"/>
  <c r="G12" i="4"/>
  <c r="G8" i="4"/>
  <c r="G7" i="4"/>
  <c r="G5" i="4"/>
  <c r="G4" i="4"/>
  <c r="G3" i="4"/>
  <c r="G24" i="3"/>
  <c r="G23" i="3"/>
  <c r="G20" i="3"/>
  <c r="G19" i="3"/>
  <c r="G17" i="3"/>
  <c r="G13" i="3"/>
  <c r="G8" i="3"/>
  <c r="G3" i="3"/>
  <c r="F6" i="2"/>
  <c r="G6" i="2"/>
  <c r="G4" i="3"/>
  <c r="G9" i="3"/>
  <c r="G15" i="3"/>
  <c r="G12" i="3"/>
  <c r="G14" i="3"/>
  <c r="G7" i="3"/>
  <c r="G5" i="3"/>
  <c r="G11" i="3"/>
  <c r="G10" i="3"/>
  <c r="G16" i="3"/>
  <c r="F4" i="1" l="1"/>
  <c r="F5" i="1"/>
  <c r="F6" i="1"/>
  <c r="F7" i="1"/>
  <c r="F8" i="1"/>
  <c r="F9" i="1"/>
  <c r="F10" i="1"/>
  <c r="E5" i="1"/>
  <c r="G5" i="1" s="1"/>
  <c r="E6" i="1"/>
  <c r="E7" i="1"/>
  <c r="E8" i="1"/>
  <c r="E9" i="1"/>
  <c r="E10" i="1"/>
  <c r="E3" i="1"/>
  <c r="E4" i="1"/>
  <c r="G4" i="1" s="1"/>
  <c r="F3" i="1"/>
  <c r="F2" i="1"/>
  <c r="G10" i="1" l="1"/>
  <c r="G3" i="1"/>
  <c r="E12" i="1"/>
  <c r="G9" i="1"/>
  <c r="G8" i="1"/>
  <c r="G7" i="1"/>
  <c r="F12" i="1"/>
  <c r="G2" i="1"/>
  <c r="G6" i="1"/>
  <c r="G12" i="1" l="1"/>
</calcChain>
</file>

<file path=xl/sharedStrings.xml><?xml version="1.0" encoding="utf-8"?>
<sst xmlns="http://schemas.openxmlformats.org/spreadsheetml/2006/main" count="132" uniqueCount="90">
  <si>
    <t>Identifier</t>
  </si>
  <si>
    <t>SMask_Sample_1-4</t>
  </si>
  <si>
    <t>TP</t>
  </si>
  <si>
    <t>FP</t>
  </si>
  <si>
    <t>FN</t>
  </si>
  <si>
    <t>SMask_Sample_2-11</t>
  </si>
  <si>
    <t>Precision</t>
  </si>
  <si>
    <t>Recall</t>
  </si>
  <si>
    <t>SMask_Sample_2-12</t>
  </si>
  <si>
    <t>SMask_Sample_3-11</t>
  </si>
  <si>
    <t>SMask_Sample_2-15</t>
  </si>
  <si>
    <t>SMask_Sample_4-6</t>
  </si>
  <si>
    <t>SMask_Sample_36-4</t>
  </si>
  <si>
    <t>SMask_Sample_36-8</t>
  </si>
  <si>
    <t>SMask_Sample_38-6</t>
  </si>
  <si>
    <t>F1 Score</t>
  </si>
  <si>
    <t>SMask_Sample_2-2</t>
  </si>
  <si>
    <t>SMask_Sample_9-11</t>
  </si>
  <si>
    <t>SMask_Sample_4-13</t>
  </si>
  <si>
    <t>SMask_Sample_4-14</t>
  </si>
  <si>
    <t>SMask_Sample_8-17</t>
  </si>
  <si>
    <t>SMask_Sample_1-13</t>
  </si>
  <si>
    <t>SMask_Sample_1-14</t>
  </si>
  <si>
    <t>SMask_Sample_3-18</t>
  </si>
  <si>
    <t>SMask_Sample_13-2</t>
  </si>
  <si>
    <t>SMask_Sample_9-14</t>
  </si>
  <si>
    <t>SMask_Sample_10-13</t>
  </si>
  <si>
    <t>SMask_Sample_11-13</t>
  </si>
  <si>
    <t>SMask_Sample_11-14</t>
  </si>
  <si>
    <t>SMask_Sample_11-15</t>
  </si>
  <si>
    <t>SMask_Sample_15-13</t>
  </si>
  <si>
    <t>SMask_Sample_15-15</t>
  </si>
  <si>
    <t>SMask_Sample_17-17</t>
  </si>
  <si>
    <t>SMask_Sample_18-15</t>
  </si>
  <si>
    <t>SMask_Sample_18-16</t>
  </si>
  <si>
    <t>SMask_Sample_18-17</t>
  </si>
  <si>
    <t>SMask_Sample_18-18</t>
  </si>
  <si>
    <t>SMask_Sample_19-18</t>
  </si>
  <si>
    <t>SMask_Sample_20-15</t>
  </si>
  <si>
    <t>SMask_Sample_20-17</t>
  </si>
  <si>
    <t>SMask_Sample_22-11</t>
  </si>
  <si>
    <t>SMask_Sample_26-18</t>
  </si>
  <si>
    <t>SMask_Sample_26-17</t>
  </si>
  <si>
    <t>SMask_Sample_27-22</t>
  </si>
  <si>
    <t>SMask_Sample_30-15</t>
  </si>
  <si>
    <t>SMask_Sample_31-24</t>
  </si>
  <si>
    <t>SMask_Sample_32-19</t>
  </si>
  <si>
    <t>SMask_Sample_33-21</t>
  </si>
  <si>
    <t>SMask_Sample_33-22</t>
  </si>
  <si>
    <t>SMask_Sample_34-16</t>
  </si>
  <si>
    <t>SMask_Sample_35-17</t>
  </si>
  <si>
    <t>SMask_Sample_36-16</t>
  </si>
  <si>
    <t>SMask_Sample_37-18</t>
  </si>
  <si>
    <t>SMask_Sample_38-23</t>
  </si>
  <si>
    <t>SMask_Sample_4-10</t>
  </si>
  <si>
    <t>SMask_Sample_6-7</t>
  </si>
  <si>
    <t>SMask_Sample_6-8</t>
  </si>
  <si>
    <t>SMask_Sample_6-10</t>
  </si>
  <si>
    <t>SMask_Sample_6-11</t>
  </si>
  <si>
    <t>SMask_Sample_12-4</t>
  </si>
  <si>
    <t>SMask_Sample_12-7</t>
  </si>
  <si>
    <t>SMask_Sample_12-12</t>
  </si>
  <si>
    <t>SMask_Sample_14-5</t>
  </si>
  <si>
    <t>SMask_Sample_15-8</t>
  </si>
  <si>
    <t>SMask_Sample_16-4</t>
  </si>
  <si>
    <t>SMask_Sample_16-6</t>
  </si>
  <si>
    <t>SMask_Sample_18-10</t>
  </si>
  <si>
    <t>SMask_Sample_19-6</t>
  </si>
  <si>
    <t>SMask_Sample_19-7</t>
  </si>
  <si>
    <t>SMask_Sample_19-8</t>
  </si>
  <si>
    <t>SMask_Sample_19-10</t>
  </si>
  <si>
    <t>SMask_Sample_21-3</t>
  </si>
  <si>
    <t>SMask_Sample_21-9</t>
  </si>
  <si>
    <t>SMask_Sample_23-6</t>
  </si>
  <si>
    <t>SMask_Sample_23-8</t>
  </si>
  <si>
    <t>SMask_Sample_27-5</t>
  </si>
  <si>
    <t>SMask_Sample_27-10</t>
  </si>
  <si>
    <t>SMask_Sample_30-11</t>
  </si>
  <si>
    <t>SMask_Sample_31-1</t>
  </si>
  <si>
    <t>SMask_Sample_32-3</t>
  </si>
  <si>
    <t>SMask_Sample_34-8</t>
  </si>
  <si>
    <t>SMask_Sample_37-7</t>
  </si>
  <si>
    <t>SMask_Sample_38-7</t>
  </si>
  <si>
    <t>Ground Truth</t>
  </si>
  <si>
    <t>TP (SegA)</t>
  </si>
  <si>
    <t>FP (SegA)</t>
  </si>
  <si>
    <t>FN (SegA)</t>
  </si>
  <si>
    <t>Precision (SegA)</t>
  </si>
  <si>
    <t>Recall (SegA)</t>
  </si>
  <si>
    <t>F1 Score (SegA)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</si>
</sst>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9AB1-5776-4568-B9AF-2940EDBD0C12}">
  <dimension ref="A1:P12"/>
  <sheetViews>
    <sheetView workbookViewId="0">
      <selection activeCell="E2" sqref="E2"/>
    </sheetView>
  </sheetViews>
  <sheetFormatPr defaultRowHeight="14.4" x14ac:dyDescent="0.3"/>
  <cols>
    <col min="1" max="1" width="18.88671875" bestFit="1" customWidth="1"/>
    <col min="9" max="9" width="11.77734375" bestFit="1" customWidth="1"/>
    <col min="14" max="14" width="13.88671875" bestFit="1" customWidth="1"/>
    <col min="15" max="15" width="11.33203125" bestFit="1" customWidth="1"/>
    <col min="16" max="16" width="13.44140625" bestFit="1" customWidth="1"/>
  </cols>
  <sheetData>
    <row r="1" spans="1:16" x14ac:dyDescent="0.3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15</v>
      </c>
      <c r="I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3">
      <c r="A2" t="s">
        <v>1</v>
      </c>
      <c r="B2">
        <v>73</v>
      </c>
      <c r="C2">
        <v>2</v>
      </c>
      <c r="D2">
        <v>14</v>
      </c>
      <c r="E2">
        <f>B2/(B2+C2)</f>
        <v>0.97333333333333338</v>
      </c>
      <c r="F2">
        <f>B2/(B2+D2)</f>
        <v>0.83908045977011492</v>
      </c>
      <c r="G2">
        <f>(2*E2*F2)/(E2+F2)</f>
        <v>0.90123456790123457</v>
      </c>
      <c r="I2">
        <f>B2+D2</f>
        <v>87</v>
      </c>
      <c r="K2">
        <v>71</v>
      </c>
      <c r="L2">
        <v>10</v>
      </c>
      <c r="M2">
        <v>16</v>
      </c>
      <c r="N2">
        <f>K2/(L2+K2)</f>
        <v>0.87654320987654322</v>
      </c>
      <c r="O2">
        <f>K2/(K2+M2)</f>
        <v>0.81609195402298851</v>
      </c>
      <c r="P2">
        <f>2*N2*O2/(N2+O2)</f>
        <v>0.84523809523809523</v>
      </c>
    </row>
    <row r="3" spans="1:16" x14ac:dyDescent="0.3">
      <c r="A3" t="s">
        <v>5</v>
      </c>
      <c r="B3">
        <v>86</v>
      </c>
      <c r="C3">
        <v>12</v>
      </c>
      <c r="D3">
        <v>15</v>
      </c>
      <c r="E3">
        <f t="shared" ref="E3:E10" si="0">B3/(B3+C3)</f>
        <v>0.87755102040816324</v>
      </c>
      <c r="F3">
        <f>B3/(B3+D3)</f>
        <v>0.85148514851485146</v>
      </c>
      <c r="G3">
        <f>(2*E3*F3)/(E3+F3)</f>
        <v>0.86432160804020097</v>
      </c>
      <c r="I3">
        <f t="shared" ref="I3:I7" si="1">B3+D3</f>
        <v>101</v>
      </c>
      <c r="K3">
        <v>80</v>
      </c>
      <c r="L3">
        <v>17</v>
      </c>
      <c r="M3">
        <v>21</v>
      </c>
      <c r="N3">
        <f t="shared" ref="N3:N10" si="2">K3/(L3+K3)</f>
        <v>0.82474226804123707</v>
      </c>
      <c r="O3">
        <f t="shared" ref="O3:O10" si="3">K3/(K3+M3)</f>
        <v>0.79207920792079212</v>
      </c>
      <c r="P3">
        <f t="shared" ref="P3:P10" si="4">2*N3*O3/(N3+O3)</f>
        <v>0.80808080808080818</v>
      </c>
    </row>
    <row r="4" spans="1:16" x14ac:dyDescent="0.3">
      <c r="A4" t="s">
        <v>8</v>
      </c>
      <c r="B4">
        <v>77</v>
      </c>
      <c r="C4">
        <v>9</v>
      </c>
      <c r="D4">
        <v>15</v>
      </c>
      <c r="E4">
        <f t="shared" si="0"/>
        <v>0.89534883720930236</v>
      </c>
      <c r="F4">
        <f t="shared" ref="F4:F10" si="5">B4/(B4+D4)</f>
        <v>0.83695652173913049</v>
      </c>
      <c r="G4">
        <f t="shared" ref="G4:G10" si="6">(2*E4*F4)/(E4+F4)</f>
        <v>0.86516853932584259</v>
      </c>
      <c r="I4">
        <f t="shared" si="1"/>
        <v>92</v>
      </c>
      <c r="K4">
        <v>75</v>
      </c>
      <c r="L4">
        <v>8</v>
      </c>
      <c r="M4">
        <v>17</v>
      </c>
      <c r="N4">
        <f t="shared" si="2"/>
        <v>0.90361445783132532</v>
      </c>
      <c r="O4">
        <f t="shared" si="3"/>
        <v>0.81521739130434778</v>
      </c>
      <c r="P4">
        <f t="shared" si="4"/>
        <v>0.8571428571428571</v>
      </c>
    </row>
    <row r="5" spans="1:16" x14ac:dyDescent="0.3">
      <c r="A5" t="s">
        <v>10</v>
      </c>
      <c r="B5">
        <v>41</v>
      </c>
      <c r="C5">
        <v>5</v>
      </c>
      <c r="D5">
        <v>4</v>
      </c>
      <c r="E5">
        <f t="shared" si="0"/>
        <v>0.89130434782608692</v>
      </c>
      <c r="F5">
        <f t="shared" si="5"/>
        <v>0.91111111111111109</v>
      </c>
      <c r="G5">
        <f t="shared" si="6"/>
        <v>0.90109890109890112</v>
      </c>
      <c r="I5">
        <f t="shared" si="1"/>
        <v>45</v>
      </c>
      <c r="K5">
        <v>36</v>
      </c>
      <c r="L5">
        <v>11</v>
      </c>
      <c r="M5">
        <v>9</v>
      </c>
      <c r="N5">
        <f t="shared" si="2"/>
        <v>0.76595744680851063</v>
      </c>
      <c r="O5">
        <f t="shared" si="3"/>
        <v>0.8</v>
      </c>
      <c r="P5">
        <f t="shared" si="4"/>
        <v>0.78260869565217384</v>
      </c>
    </row>
    <row r="6" spans="1:16" x14ac:dyDescent="0.3">
      <c r="A6" t="s">
        <v>9</v>
      </c>
      <c r="B6">
        <v>73</v>
      </c>
      <c r="C6">
        <v>2</v>
      </c>
      <c r="D6">
        <v>10</v>
      </c>
      <c r="E6">
        <f t="shared" si="0"/>
        <v>0.97333333333333338</v>
      </c>
      <c r="F6">
        <f t="shared" si="5"/>
        <v>0.87951807228915657</v>
      </c>
      <c r="G6">
        <f t="shared" si="6"/>
        <v>0.92405063291139233</v>
      </c>
      <c r="I6">
        <f t="shared" si="1"/>
        <v>83</v>
      </c>
      <c r="K6">
        <v>66</v>
      </c>
      <c r="L6">
        <v>10</v>
      </c>
      <c r="M6">
        <v>17</v>
      </c>
      <c r="N6">
        <f t="shared" si="2"/>
        <v>0.86842105263157898</v>
      </c>
      <c r="O6">
        <f t="shared" si="3"/>
        <v>0.79518072289156627</v>
      </c>
      <c r="P6">
        <f t="shared" si="4"/>
        <v>0.83018867924528317</v>
      </c>
    </row>
    <row r="7" spans="1:16" x14ac:dyDescent="0.3">
      <c r="A7" t="s">
        <v>11</v>
      </c>
      <c r="B7">
        <v>114</v>
      </c>
      <c r="C7">
        <v>2</v>
      </c>
      <c r="D7">
        <v>42</v>
      </c>
      <c r="E7">
        <f t="shared" si="0"/>
        <v>0.98275862068965514</v>
      </c>
      <c r="F7">
        <f t="shared" si="5"/>
        <v>0.73076923076923073</v>
      </c>
      <c r="G7">
        <f t="shared" si="6"/>
        <v>0.83823529411764708</v>
      </c>
      <c r="I7">
        <f t="shared" si="1"/>
        <v>156</v>
      </c>
      <c r="K7">
        <v>109</v>
      </c>
      <c r="L7">
        <v>7</v>
      </c>
      <c r="M7">
        <v>45</v>
      </c>
      <c r="N7">
        <f t="shared" si="2"/>
        <v>0.93965517241379315</v>
      </c>
      <c r="O7">
        <f t="shared" si="3"/>
        <v>0.70779220779220775</v>
      </c>
      <c r="P7">
        <f t="shared" si="4"/>
        <v>0.80740740740740735</v>
      </c>
    </row>
    <row r="8" spans="1:16" x14ac:dyDescent="0.3">
      <c r="A8" t="s">
        <v>12</v>
      </c>
      <c r="B8">
        <v>102</v>
      </c>
      <c r="C8">
        <v>1</v>
      </c>
      <c r="D8">
        <v>39</v>
      </c>
      <c r="E8">
        <f t="shared" si="0"/>
        <v>0.99029126213592233</v>
      </c>
      <c r="F8">
        <f t="shared" si="5"/>
        <v>0.72340425531914898</v>
      </c>
      <c r="G8">
        <f t="shared" si="6"/>
        <v>0.83606557377049184</v>
      </c>
      <c r="I8">
        <v>141</v>
      </c>
      <c r="K8">
        <v>114</v>
      </c>
      <c r="L8">
        <v>6</v>
      </c>
      <c r="M8">
        <v>27</v>
      </c>
      <c r="N8">
        <f t="shared" si="2"/>
        <v>0.95</v>
      </c>
      <c r="O8">
        <f t="shared" si="3"/>
        <v>0.80851063829787229</v>
      </c>
      <c r="P8">
        <f t="shared" si="4"/>
        <v>0.87356321839080464</v>
      </c>
    </row>
    <row r="9" spans="1:16" x14ac:dyDescent="0.3">
      <c r="A9" t="s">
        <v>13</v>
      </c>
      <c r="B9">
        <v>88</v>
      </c>
      <c r="C9">
        <v>2</v>
      </c>
      <c r="D9">
        <v>34</v>
      </c>
      <c r="E9">
        <f t="shared" si="0"/>
        <v>0.97777777777777775</v>
      </c>
      <c r="F9">
        <f t="shared" si="5"/>
        <v>0.72131147540983609</v>
      </c>
      <c r="G9">
        <f t="shared" si="6"/>
        <v>0.83018867924528306</v>
      </c>
      <c r="I9">
        <v>122</v>
      </c>
      <c r="K9">
        <v>85</v>
      </c>
      <c r="L9">
        <v>5</v>
      </c>
      <c r="M9">
        <v>37</v>
      </c>
      <c r="N9">
        <f t="shared" si="2"/>
        <v>0.94444444444444442</v>
      </c>
      <c r="O9">
        <f t="shared" si="3"/>
        <v>0.69672131147540983</v>
      </c>
      <c r="P9">
        <f t="shared" si="4"/>
        <v>0.80188679245283012</v>
      </c>
    </row>
    <row r="10" spans="1:16" x14ac:dyDescent="0.3">
      <c r="A10" t="s">
        <v>14</v>
      </c>
      <c r="B10">
        <v>94</v>
      </c>
      <c r="C10">
        <v>0</v>
      </c>
      <c r="D10">
        <v>18</v>
      </c>
      <c r="E10">
        <f t="shared" si="0"/>
        <v>1</v>
      </c>
      <c r="F10">
        <f t="shared" si="5"/>
        <v>0.8392857142857143</v>
      </c>
      <c r="G10">
        <f t="shared" si="6"/>
        <v>0.9126213592233009</v>
      </c>
      <c r="I10">
        <v>112</v>
      </c>
      <c r="K10">
        <v>89</v>
      </c>
      <c r="L10">
        <v>3</v>
      </c>
      <c r="M10">
        <v>23</v>
      </c>
      <c r="N10">
        <f t="shared" si="2"/>
        <v>0.96739130434782605</v>
      </c>
      <c r="O10">
        <f t="shared" si="3"/>
        <v>0.7946428571428571</v>
      </c>
      <c r="P10">
        <f t="shared" si="4"/>
        <v>0.87254901960784315</v>
      </c>
    </row>
    <row r="12" spans="1:16" x14ac:dyDescent="0.3">
      <c r="E12">
        <f>AVERAGE(E2:E10)</f>
        <v>0.95129983696817488</v>
      </c>
      <c r="F12">
        <f t="shared" ref="F12:G12" si="7">AVERAGE(F2:F10)</f>
        <v>0.81476910991203277</v>
      </c>
      <c r="G12">
        <f t="shared" si="7"/>
        <v>0.87477612840381047</v>
      </c>
      <c r="N12">
        <f>AVERAGE(N2:N10)</f>
        <v>0.89341881737725104</v>
      </c>
      <c r="O12">
        <f>AVERAGE(O2:O10)</f>
        <v>0.78069292120533795</v>
      </c>
      <c r="P12">
        <f>AVERAGE(P2:P10)</f>
        <v>0.83096284146867816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CCF8-C390-4FF9-8BC1-CE5C94DE2F87}">
  <dimension ref="A1:P6"/>
  <sheetViews>
    <sheetView tabSelected="1" workbookViewId="0">
      <selection activeCell="D6" sqref="D6"/>
    </sheetView>
  </sheetViews>
  <sheetFormatPr defaultRowHeight="14.4" x14ac:dyDescent="0.3"/>
  <cols>
    <col min="1" max="1" width="18" bestFit="1" customWidth="1"/>
    <col min="9" max="9" width="11.77734375" bestFit="1" customWidth="1"/>
    <col min="14" max="14" width="13.88671875" bestFit="1" customWidth="1"/>
    <col min="15" max="15" width="11.33203125" bestFit="1" customWidth="1"/>
    <col min="16" max="16" width="13.44140625" bestFit="1" customWidth="1"/>
  </cols>
  <sheetData>
    <row r="1" spans="1:16" x14ac:dyDescent="0.3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15</v>
      </c>
      <c r="I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3">
      <c r="A2" t="s">
        <v>16</v>
      </c>
      <c r="B2">
        <v>105</v>
      </c>
      <c r="C2">
        <v>1</v>
      </c>
      <c r="D2">
        <v>70</v>
      </c>
      <c r="E2">
        <f>B2/(B2+C2)</f>
        <v>0.99056603773584906</v>
      </c>
      <c r="F2">
        <f>B2/(B2+D2)</f>
        <v>0.6</v>
      </c>
      <c r="G2">
        <f>(2*E2*F2)/(E2+F2)</f>
        <v>0.74733096085409256</v>
      </c>
      <c r="I2">
        <f>B2+D2</f>
        <v>175</v>
      </c>
      <c r="K2">
        <v>127</v>
      </c>
      <c r="L2">
        <v>6</v>
      </c>
      <c r="M2">
        <v>48</v>
      </c>
      <c r="N2">
        <f>K2/(K2+L2)</f>
        <v>0.95488721804511278</v>
      </c>
      <c r="O2">
        <f>K2/(K2+M2)</f>
        <v>0.72571428571428576</v>
      </c>
      <c r="P2">
        <f>(2*N2*O2)/(N2+O2)</f>
        <v>0.82467532467532467</v>
      </c>
    </row>
    <row r="3" spans="1:16" x14ac:dyDescent="0.3">
      <c r="A3" t="s">
        <v>17</v>
      </c>
      <c r="B3">
        <v>89</v>
      </c>
      <c r="C3">
        <v>3</v>
      </c>
      <c r="D3">
        <v>54</v>
      </c>
      <c r="E3">
        <f>B3/(B3+C3)</f>
        <v>0.96739130434782605</v>
      </c>
      <c r="F3">
        <f>B3/(B3+D3)</f>
        <v>0.6223776223776224</v>
      </c>
      <c r="G3">
        <f>(2*E3*F3)/(E3+F3)</f>
        <v>0.75744680851063828</v>
      </c>
      <c r="I3">
        <f t="shared" ref="I3:I4" si="0">B3+D3</f>
        <v>143</v>
      </c>
      <c r="K3">
        <v>93</v>
      </c>
      <c r="L3">
        <v>11</v>
      </c>
      <c r="M3">
        <v>50</v>
      </c>
      <c r="N3">
        <f t="shared" ref="N3:N4" si="1">K3/(K3+L3)</f>
        <v>0.89423076923076927</v>
      </c>
      <c r="O3">
        <f t="shared" ref="O3:O4" si="2">K3/(K3+M3)</f>
        <v>0.65034965034965031</v>
      </c>
      <c r="P3">
        <f t="shared" ref="P3:P4" si="3">(2*N3*O3)/(N3+O3)</f>
        <v>0.75303643724696356</v>
      </c>
    </row>
    <row r="4" spans="1:16" x14ac:dyDescent="0.3">
      <c r="A4" t="s">
        <v>24</v>
      </c>
      <c r="B4">
        <v>168</v>
      </c>
      <c r="C4">
        <v>1</v>
      </c>
      <c r="D4">
        <v>72</v>
      </c>
      <c r="E4">
        <f>B4/(B4+C4)</f>
        <v>0.99408284023668636</v>
      </c>
      <c r="F4">
        <f>B4/(B4+D4)</f>
        <v>0.7</v>
      </c>
      <c r="G4">
        <f>(2*E4*F4)/(E4+F4)</f>
        <v>0.82151589242053791</v>
      </c>
      <c r="I4">
        <f t="shared" si="0"/>
        <v>240</v>
      </c>
      <c r="K4">
        <v>166</v>
      </c>
      <c r="L4">
        <v>4</v>
      </c>
      <c r="M4">
        <v>74</v>
      </c>
      <c r="N4">
        <f t="shared" si="1"/>
        <v>0.97647058823529409</v>
      </c>
      <c r="O4">
        <f t="shared" si="2"/>
        <v>0.69166666666666665</v>
      </c>
      <c r="P4">
        <f t="shared" si="3"/>
        <v>0.80975609756097566</v>
      </c>
    </row>
    <row r="6" spans="1:16" x14ac:dyDescent="0.3">
      <c r="E6">
        <f>AVERAGE(E2:E4)</f>
        <v>0.98401339410678723</v>
      </c>
      <c r="F6">
        <f>AVERAGE(F2:F4)</f>
        <v>0.64079254079254078</v>
      </c>
      <c r="G6">
        <f>AVERAGE(G2:G4)</f>
        <v>0.77543122059508962</v>
      </c>
      <c r="N6">
        <f>AVERAGE(N2:N4)</f>
        <v>0.94186285850372542</v>
      </c>
      <c r="O6">
        <f t="shared" ref="O6:P6" si="4">AVERAGE(O2:O4)</f>
        <v>0.68924353424353413</v>
      </c>
      <c r="P6">
        <f t="shared" si="4"/>
        <v>0.79582261982775471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DA4F-F7DD-44B2-8E98-4E4B5BEFFD21}">
  <dimension ref="A1:P38"/>
  <sheetViews>
    <sheetView topLeftCell="A21" workbookViewId="0">
      <selection activeCell="F36" sqref="F36"/>
    </sheetView>
  </sheetViews>
  <sheetFormatPr defaultRowHeight="14.4" x14ac:dyDescent="0.3"/>
  <cols>
    <col min="1" max="1" width="19" bestFit="1" customWidth="1"/>
    <col min="9" max="9" width="11.77734375" bestFit="1" customWidth="1"/>
    <col min="10" max="10" width="8.88671875" customWidth="1"/>
    <col min="14" max="14" width="13.88671875" bestFit="1" customWidth="1"/>
    <col min="15" max="15" width="11.33203125" bestFit="1" customWidth="1"/>
    <col min="16" max="16" width="13.44140625" bestFit="1" customWidth="1"/>
  </cols>
  <sheetData>
    <row r="1" spans="1:16" x14ac:dyDescent="0.3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15</v>
      </c>
      <c r="I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3">
      <c r="A2" t="s">
        <v>21</v>
      </c>
      <c r="B2">
        <v>9</v>
      </c>
      <c r="C2">
        <v>0</v>
      </c>
      <c r="D2">
        <v>1</v>
      </c>
      <c r="E2">
        <f>B2/(B2+C2)</f>
        <v>1</v>
      </c>
      <c r="F2">
        <f>B2/(B2+D2)</f>
        <v>0.9</v>
      </c>
      <c r="G2">
        <f>(2*E2*F2)/(E2+F2)</f>
        <v>0.94736842105263164</v>
      </c>
      <c r="I2">
        <f>B2+D2</f>
        <v>10</v>
      </c>
      <c r="K2">
        <v>7</v>
      </c>
      <c r="L2">
        <v>1</v>
      </c>
      <c r="M2">
        <v>3</v>
      </c>
      <c r="N2">
        <f>K2/(K2+L2)</f>
        <v>0.875</v>
      </c>
      <c r="O2">
        <f>K2/(K2+M2)</f>
        <v>0.7</v>
      </c>
      <c r="P2">
        <f>(2*N2*O2)/(N2+O2)</f>
        <v>0.77777777777777768</v>
      </c>
    </row>
    <row r="3" spans="1:16" x14ac:dyDescent="0.3">
      <c r="A3" t="s">
        <v>22</v>
      </c>
      <c r="B3">
        <v>11</v>
      </c>
      <c r="C3">
        <v>2</v>
      </c>
      <c r="D3">
        <v>1</v>
      </c>
      <c r="E3">
        <f>B3/(B3+C3)</f>
        <v>0.84615384615384615</v>
      </c>
      <c r="F3">
        <f>B3/(B3+D3)</f>
        <v>0.91666666666666663</v>
      </c>
      <c r="G3">
        <f t="shared" ref="G3:G4" si="0">(2*E3*F3)/(E3+F3)</f>
        <v>0.87999999999999989</v>
      </c>
      <c r="I3">
        <f t="shared" ref="I3:I35" si="1">B3+D3</f>
        <v>12</v>
      </c>
      <c r="K3">
        <v>9</v>
      </c>
      <c r="L3">
        <v>0</v>
      </c>
      <c r="M3">
        <v>3</v>
      </c>
      <c r="N3">
        <f t="shared" ref="N3:N36" si="2">K3/(K3+L3)</f>
        <v>1</v>
      </c>
      <c r="O3">
        <f t="shared" ref="O3:O36" si="3">K3/(K3+M3)</f>
        <v>0.75</v>
      </c>
      <c r="P3">
        <f t="shared" ref="P3:P36" si="4">(2*N3*O3)/(N3+O3)</f>
        <v>0.8571428571428571</v>
      </c>
    </row>
    <row r="4" spans="1:16" x14ac:dyDescent="0.3">
      <c r="A4" t="s">
        <v>23</v>
      </c>
      <c r="B4">
        <v>11</v>
      </c>
      <c r="C4">
        <v>2</v>
      </c>
      <c r="D4">
        <v>1</v>
      </c>
      <c r="E4">
        <f t="shared" ref="E4" si="5">B4/(B4+C4)</f>
        <v>0.84615384615384615</v>
      </c>
      <c r="F4">
        <f t="shared" ref="F4" si="6">B4/(B4+D4)</f>
        <v>0.91666666666666663</v>
      </c>
      <c r="G4">
        <f t="shared" si="0"/>
        <v>0.87999999999999989</v>
      </c>
      <c r="I4">
        <f t="shared" si="1"/>
        <v>12</v>
      </c>
      <c r="K4">
        <v>11</v>
      </c>
      <c r="L4">
        <v>3</v>
      </c>
      <c r="M4">
        <v>1</v>
      </c>
      <c r="N4">
        <f t="shared" si="2"/>
        <v>0.7857142857142857</v>
      </c>
      <c r="O4">
        <f t="shared" si="3"/>
        <v>0.91666666666666663</v>
      </c>
      <c r="P4">
        <f t="shared" si="4"/>
        <v>0.84615384615384615</v>
      </c>
    </row>
    <row r="5" spans="1:16" x14ac:dyDescent="0.3">
      <c r="A5" t="s">
        <v>18</v>
      </c>
      <c r="B5">
        <v>26</v>
      </c>
      <c r="C5">
        <v>4</v>
      </c>
      <c r="D5">
        <v>1</v>
      </c>
      <c r="E5">
        <f>B5/(B5+C5)</f>
        <v>0.8666666666666667</v>
      </c>
      <c r="F5">
        <f t="shared" ref="F5:F12" si="7">B5/(B5+D5)</f>
        <v>0.96296296296296291</v>
      </c>
      <c r="G5">
        <f t="shared" ref="G5:G12" si="8">(2*E5*F5)/(E5+F5)</f>
        <v>0.91228070175438603</v>
      </c>
      <c r="I5">
        <f t="shared" si="1"/>
        <v>27</v>
      </c>
      <c r="K5">
        <v>26</v>
      </c>
      <c r="L5">
        <v>6</v>
      </c>
      <c r="M5">
        <v>1</v>
      </c>
      <c r="N5">
        <f t="shared" si="2"/>
        <v>0.8125</v>
      </c>
      <c r="O5">
        <f t="shared" si="3"/>
        <v>0.96296296296296291</v>
      </c>
      <c r="P5">
        <f t="shared" si="4"/>
        <v>0.88135593220338981</v>
      </c>
    </row>
    <row r="6" spans="1:16" x14ac:dyDescent="0.3">
      <c r="A6" t="s">
        <v>19</v>
      </c>
      <c r="B6">
        <v>27</v>
      </c>
      <c r="C6">
        <v>0</v>
      </c>
      <c r="D6">
        <v>2</v>
      </c>
      <c r="E6">
        <f>B6/(B6+C6)</f>
        <v>1</v>
      </c>
      <c r="F6">
        <f>B6/(B6+D6)</f>
        <v>0.93103448275862066</v>
      </c>
      <c r="G6">
        <f t="shared" si="8"/>
        <v>0.9642857142857143</v>
      </c>
      <c r="I6">
        <f t="shared" si="1"/>
        <v>29</v>
      </c>
      <c r="K6">
        <v>17</v>
      </c>
      <c r="L6">
        <v>6</v>
      </c>
      <c r="M6">
        <v>12</v>
      </c>
      <c r="N6">
        <f t="shared" si="2"/>
        <v>0.73913043478260865</v>
      </c>
      <c r="O6">
        <f t="shared" si="3"/>
        <v>0.58620689655172409</v>
      </c>
      <c r="P6">
        <f t="shared" si="4"/>
        <v>0.65384615384615385</v>
      </c>
    </row>
    <row r="7" spans="1:16" x14ac:dyDescent="0.3">
      <c r="A7" t="s">
        <v>20</v>
      </c>
      <c r="B7">
        <v>9</v>
      </c>
      <c r="C7">
        <v>1</v>
      </c>
      <c r="D7">
        <v>2</v>
      </c>
      <c r="E7">
        <f t="shared" ref="E7:E17" si="9">B7/(B7+C7)</f>
        <v>0.9</v>
      </c>
      <c r="F7">
        <f t="shared" si="7"/>
        <v>0.81818181818181823</v>
      </c>
      <c r="G7">
        <f t="shared" si="8"/>
        <v>0.85714285714285721</v>
      </c>
      <c r="I7">
        <f t="shared" si="1"/>
        <v>11</v>
      </c>
      <c r="K7">
        <v>7</v>
      </c>
      <c r="L7">
        <v>3</v>
      </c>
      <c r="M7">
        <v>4</v>
      </c>
      <c r="N7">
        <f t="shared" si="2"/>
        <v>0.7</v>
      </c>
      <c r="O7">
        <f t="shared" si="3"/>
        <v>0.63636363636363635</v>
      </c>
      <c r="P7">
        <f t="shared" si="4"/>
        <v>0.66666666666666663</v>
      </c>
    </row>
    <row r="8" spans="1:16" x14ac:dyDescent="0.3">
      <c r="A8" t="s">
        <v>25</v>
      </c>
      <c r="B8">
        <v>16</v>
      </c>
      <c r="C8">
        <v>1</v>
      </c>
      <c r="D8">
        <v>3</v>
      </c>
      <c r="E8">
        <f t="shared" si="9"/>
        <v>0.94117647058823528</v>
      </c>
      <c r="F8">
        <f t="shared" si="7"/>
        <v>0.84210526315789469</v>
      </c>
      <c r="G8">
        <f t="shared" si="8"/>
        <v>0.88888888888888884</v>
      </c>
      <c r="I8">
        <f t="shared" si="1"/>
        <v>19</v>
      </c>
      <c r="K8">
        <v>19</v>
      </c>
      <c r="L8">
        <v>5</v>
      </c>
      <c r="M8">
        <v>0</v>
      </c>
      <c r="N8">
        <f t="shared" si="2"/>
        <v>0.79166666666666663</v>
      </c>
      <c r="O8">
        <f t="shared" si="3"/>
        <v>1</v>
      </c>
      <c r="P8">
        <f t="shared" si="4"/>
        <v>0.88372093023255816</v>
      </c>
    </row>
    <row r="9" spans="1:16" x14ac:dyDescent="0.3">
      <c r="A9" t="s">
        <v>26</v>
      </c>
      <c r="B9">
        <v>26</v>
      </c>
      <c r="C9">
        <v>1</v>
      </c>
      <c r="D9">
        <v>5</v>
      </c>
      <c r="E9">
        <f t="shared" si="9"/>
        <v>0.96296296296296291</v>
      </c>
      <c r="F9">
        <f t="shared" si="7"/>
        <v>0.83870967741935487</v>
      </c>
      <c r="G9">
        <f t="shared" si="8"/>
        <v>0.89655172413793105</v>
      </c>
      <c r="I9">
        <f t="shared" si="1"/>
        <v>31</v>
      </c>
      <c r="K9">
        <v>23</v>
      </c>
      <c r="L9">
        <v>8</v>
      </c>
      <c r="M9">
        <v>8</v>
      </c>
      <c r="N9">
        <f t="shared" si="2"/>
        <v>0.74193548387096775</v>
      </c>
      <c r="O9">
        <f t="shared" si="3"/>
        <v>0.74193548387096775</v>
      </c>
      <c r="P9">
        <f t="shared" si="4"/>
        <v>0.74193548387096775</v>
      </c>
    </row>
    <row r="10" spans="1:16" x14ac:dyDescent="0.3">
      <c r="A10" t="s">
        <v>27</v>
      </c>
      <c r="B10">
        <v>22</v>
      </c>
      <c r="C10">
        <v>0</v>
      </c>
      <c r="D10">
        <v>6</v>
      </c>
      <c r="E10">
        <f t="shared" si="9"/>
        <v>1</v>
      </c>
      <c r="F10">
        <f t="shared" si="7"/>
        <v>0.7857142857142857</v>
      </c>
      <c r="G10">
        <f t="shared" si="8"/>
        <v>0.88</v>
      </c>
      <c r="I10">
        <f t="shared" si="1"/>
        <v>28</v>
      </c>
      <c r="K10">
        <v>21</v>
      </c>
      <c r="L10">
        <v>1</v>
      </c>
      <c r="M10">
        <v>7</v>
      </c>
      <c r="N10">
        <f t="shared" si="2"/>
        <v>0.95454545454545459</v>
      </c>
      <c r="O10">
        <f t="shared" si="3"/>
        <v>0.75</v>
      </c>
      <c r="P10">
        <f t="shared" si="4"/>
        <v>0.84</v>
      </c>
    </row>
    <row r="11" spans="1:16" x14ac:dyDescent="0.3">
      <c r="A11" t="s">
        <v>28</v>
      </c>
      <c r="B11">
        <v>23</v>
      </c>
      <c r="C11">
        <v>0</v>
      </c>
      <c r="D11">
        <v>4</v>
      </c>
      <c r="E11">
        <f t="shared" si="9"/>
        <v>1</v>
      </c>
      <c r="F11">
        <f t="shared" si="7"/>
        <v>0.85185185185185186</v>
      </c>
      <c r="G11">
        <f t="shared" si="8"/>
        <v>0.92</v>
      </c>
      <c r="I11">
        <f t="shared" si="1"/>
        <v>27</v>
      </c>
      <c r="K11">
        <v>16</v>
      </c>
      <c r="L11">
        <v>3</v>
      </c>
      <c r="M11">
        <v>11</v>
      </c>
      <c r="N11">
        <f t="shared" si="2"/>
        <v>0.84210526315789469</v>
      </c>
      <c r="O11">
        <f t="shared" si="3"/>
        <v>0.59259259259259256</v>
      </c>
      <c r="P11">
        <f t="shared" si="4"/>
        <v>0.69565217391304346</v>
      </c>
    </row>
    <row r="12" spans="1:16" x14ac:dyDescent="0.3">
      <c r="A12" t="s">
        <v>29</v>
      </c>
      <c r="B12">
        <v>14</v>
      </c>
      <c r="C12">
        <v>1</v>
      </c>
      <c r="D12">
        <v>4</v>
      </c>
      <c r="E12">
        <f t="shared" si="9"/>
        <v>0.93333333333333335</v>
      </c>
      <c r="F12">
        <f t="shared" si="7"/>
        <v>0.77777777777777779</v>
      </c>
      <c r="G12">
        <f t="shared" si="8"/>
        <v>0.84848484848484851</v>
      </c>
      <c r="I12">
        <f t="shared" si="1"/>
        <v>18</v>
      </c>
      <c r="K12">
        <v>12</v>
      </c>
      <c r="L12">
        <v>0</v>
      </c>
      <c r="M12">
        <v>6</v>
      </c>
      <c r="N12">
        <f t="shared" si="2"/>
        <v>1</v>
      </c>
      <c r="O12">
        <f t="shared" si="3"/>
        <v>0.66666666666666663</v>
      </c>
      <c r="P12">
        <f t="shared" si="4"/>
        <v>0.8</v>
      </c>
    </row>
    <row r="13" spans="1:16" x14ac:dyDescent="0.3">
      <c r="A13" t="s">
        <v>30</v>
      </c>
      <c r="B13">
        <v>16</v>
      </c>
      <c r="C13">
        <v>0</v>
      </c>
      <c r="D13">
        <v>2</v>
      </c>
      <c r="E13">
        <f t="shared" si="9"/>
        <v>1</v>
      </c>
      <c r="F13">
        <f>B13/(B13+D13)</f>
        <v>0.88888888888888884</v>
      </c>
      <c r="G13">
        <f>(2*E13*F13)/(E13+F13)</f>
        <v>0.94117647058823528</v>
      </c>
      <c r="I13">
        <f t="shared" si="1"/>
        <v>18</v>
      </c>
      <c r="K13">
        <v>11</v>
      </c>
      <c r="L13">
        <v>3</v>
      </c>
      <c r="M13">
        <v>7</v>
      </c>
      <c r="N13">
        <f t="shared" si="2"/>
        <v>0.7857142857142857</v>
      </c>
      <c r="O13">
        <f t="shared" si="3"/>
        <v>0.61111111111111116</v>
      </c>
      <c r="P13">
        <f t="shared" si="4"/>
        <v>0.68750000000000011</v>
      </c>
    </row>
    <row r="14" spans="1:16" x14ac:dyDescent="0.3">
      <c r="A14" t="s">
        <v>31</v>
      </c>
      <c r="B14">
        <v>25</v>
      </c>
      <c r="C14">
        <v>0</v>
      </c>
      <c r="D14">
        <v>7</v>
      </c>
      <c r="E14">
        <f t="shared" si="9"/>
        <v>1</v>
      </c>
      <c r="F14">
        <f>B14/(B14+D14)</f>
        <v>0.78125</v>
      </c>
      <c r="G14">
        <f>(2*E14*F14)/(E14+F14)</f>
        <v>0.8771929824561403</v>
      </c>
      <c r="I14">
        <f t="shared" si="1"/>
        <v>32</v>
      </c>
      <c r="K14">
        <v>19</v>
      </c>
      <c r="L14">
        <v>2</v>
      </c>
      <c r="M14">
        <v>13</v>
      </c>
      <c r="N14">
        <f t="shared" si="2"/>
        <v>0.90476190476190477</v>
      </c>
      <c r="O14">
        <f t="shared" si="3"/>
        <v>0.59375</v>
      </c>
      <c r="P14">
        <f t="shared" si="4"/>
        <v>0.71698113207547176</v>
      </c>
    </row>
    <row r="15" spans="1:16" x14ac:dyDescent="0.3">
      <c r="A15" t="s">
        <v>32</v>
      </c>
      <c r="B15">
        <v>10</v>
      </c>
      <c r="C15">
        <v>1</v>
      </c>
      <c r="D15">
        <v>5</v>
      </c>
      <c r="E15">
        <f t="shared" si="9"/>
        <v>0.90909090909090906</v>
      </c>
      <c r="F15">
        <f t="shared" ref="F15:F17" si="10">B15/(B15+D15)</f>
        <v>0.66666666666666663</v>
      </c>
      <c r="G15">
        <f t="shared" ref="G15:G17" si="11">(2*E15*F15)/(E15+F15)</f>
        <v>0.76923076923076916</v>
      </c>
      <c r="I15">
        <f t="shared" si="1"/>
        <v>15</v>
      </c>
      <c r="K15">
        <v>8</v>
      </c>
      <c r="L15">
        <v>2</v>
      </c>
      <c r="M15">
        <v>7</v>
      </c>
      <c r="N15">
        <f t="shared" si="2"/>
        <v>0.8</v>
      </c>
      <c r="O15">
        <f t="shared" si="3"/>
        <v>0.53333333333333333</v>
      </c>
      <c r="P15">
        <f t="shared" si="4"/>
        <v>0.64</v>
      </c>
    </row>
    <row r="16" spans="1:16" x14ac:dyDescent="0.3">
      <c r="A16" t="s">
        <v>33</v>
      </c>
      <c r="B16">
        <v>15</v>
      </c>
      <c r="C16">
        <v>2</v>
      </c>
      <c r="D16">
        <v>2</v>
      </c>
      <c r="E16">
        <f t="shared" si="9"/>
        <v>0.88235294117647056</v>
      </c>
      <c r="F16">
        <f t="shared" si="10"/>
        <v>0.88235294117647056</v>
      </c>
      <c r="G16">
        <f t="shared" si="11"/>
        <v>0.88235294117647056</v>
      </c>
      <c r="I16">
        <f t="shared" si="1"/>
        <v>17</v>
      </c>
      <c r="K16">
        <v>17</v>
      </c>
      <c r="L16">
        <v>6</v>
      </c>
      <c r="M16">
        <v>0</v>
      </c>
      <c r="N16">
        <f t="shared" si="2"/>
        <v>0.73913043478260865</v>
      </c>
      <c r="O16">
        <f t="shared" si="3"/>
        <v>1</v>
      </c>
      <c r="P16">
        <f t="shared" si="4"/>
        <v>0.85</v>
      </c>
    </row>
    <row r="17" spans="1:16" x14ac:dyDescent="0.3">
      <c r="A17" t="s">
        <v>34</v>
      </c>
      <c r="B17">
        <v>16</v>
      </c>
      <c r="C17">
        <v>2</v>
      </c>
      <c r="D17">
        <v>3</v>
      </c>
      <c r="E17">
        <f t="shared" si="9"/>
        <v>0.88888888888888884</v>
      </c>
      <c r="F17">
        <f t="shared" si="10"/>
        <v>0.84210526315789469</v>
      </c>
      <c r="G17">
        <f t="shared" si="11"/>
        <v>0.86486486486486491</v>
      </c>
      <c r="I17">
        <f t="shared" si="1"/>
        <v>19</v>
      </c>
      <c r="K17">
        <v>12</v>
      </c>
      <c r="L17">
        <v>2</v>
      </c>
      <c r="M17">
        <v>7</v>
      </c>
      <c r="N17">
        <f t="shared" si="2"/>
        <v>0.8571428571428571</v>
      </c>
      <c r="O17">
        <f t="shared" si="3"/>
        <v>0.63157894736842102</v>
      </c>
      <c r="P17">
        <f t="shared" si="4"/>
        <v>0.72727272727272729</v>
      </c>
    </row>
    <row r="18" spans="1:16" x14ac:dyDescent="0.3">
      <c r="A18" t="s">
        <v>35</v>
      </c>
      <c r="B18">
        <v>16</v>
      </c>
      <c r="C18">
        <v>3</v>
      </c>
      <c r="D18">
        <v>4</v>
      </c>
      <c r="E18">
        <f t="shared" ref="E18:E23" si="12">B18/(B18+C18)</f>
        <v>0.84210526315789469</v>
      </c>
      <c r="F18">
        <f t="shared" ref="F18:F23" si="13">B18/(B18+D18)</f>
        <v>0.8</v>
      </c>
      <c r="G18">
        <f t="shared" ref="G18:G23" si="14">(2*E18*F18)/(E18+F18)</f>
        <v>0.82051282051282048</v>
      </c>
      <c r="I18">
        <f t="shared" si="1"/>
        <v>20</v>
      </c>
      <c r="K18">
        <v>12</v>
      </c>
      <c r="L18">
        <v>4</v>
      </c>
      <c r="M18">
        <v>8</v>
      </c>
      <c r="N18">
        <f t="shared" si="2"/>
        <v>0.75</v>
      </c>
      <c r="O18">
        <f t="shared" si="3"/>
        <v>0.6</v>
      </c>
      <c r="P18">
        <f t="shared" si="4"/>
        <v>0.66666666666666652</v>
      </c>
    </row>
    <row r="19" spans="1:16" x14ac:dyDescent="0.3">
      <c r="A19" t="s">
        <v>36</v>
      </c>
      <c r="B19">
        <v>20</v>
      </c>
      <c r="C19">
        <v>2</v>
      </c>
      <c r="D19">
        <v>1</v>
      </c>
      <c r="E19">
        <f t="shared" si="12"/>
        <v>0.90909090909090906</v>
      </c>
      <c r="F19">
        <f t="shared" si="13"/>
        <v>0.95238095238095233</v>
      </c>
      <c r="G19">
        <f t="shared" si="14"/>
        <v>0.93023255813953487</v>
      </c>
      <c r="I19">
        <f t="shared" si="1"/>
        <v>21</v>
      </c>
      <c r="K19">
        <v>11</v>
      </c>
      <c r="L19">
        <v>6</v>
      </c>
      <c r="M19">
        <v>9</v>
      </c>
      <c r="N19">
        <f t="shared" si="2"/>
        <v>0.6470588235294118</v>
      </c>
      <c r="O19">
        <f t="shared" si="3"/>
        <v>0.55000000000000004</v>
      </c>
      <c r="P19">
        <f t="shared" si="4"/>
        <v>0.59459459459459463</v>
      </c>
    </row>
    <row r="20" spans="1:16" x14ac:dyDescent="0.3">
      <c r="A20" t="s">
        <v>37</v>
      </c>
      <c r="B20">
        <v>11</v>
      </c>
      <c r="C20">
        <v>0</v>
      </c>
      <c r="D20">
        <v>3</v>
      </c>
      <c r="E20">
        <f t="shared" si="12"/>
        <v>1</v>
      </c>
      <c r="F20">
        <f t="shared" si="13"/>
        <v>0.7857142857142857</v>
      </c>
      <c r="G20">
        <f t="shared" si="14"/>
        <v>0.88</v>
      </c>
      <c r="I20">
        <f t="shared" si="1"/>
        <v>14</v>
      </c>
      <c r="K20">
        <v>7</v>
      </c>
      <c r="L20">
        <v>3</v>
      </c>
      <c r="M20">
        <v>7</v>
      </c>
      <c r="N20">
        <f t="shared" si="2"/>
        <v>0.7</v>
      </c>
      <c r="O20">
        <f t="shared" si="3"/>
        <v>0.5</v>
      </c>
      <c r="P20">
        <f t="shared" si="4"/>
        <v>0.58333333333333337</v>
      </c>
    </row>
    <row r="21" spans="1:16" x14ac:dyDescent="0.3">
      <c r="A21" t="s">
        <v>38</v>
      </c>
      <c r="B21">
        <v>13</v>
      </c>
      <c r="C21">
        <v>0</v>
      </c>
      <c r="D21">
        <v>0</v>
      </c>
      <c r="E21">
        <f t="shared" si="12"/>
        <v>1</v>
      </c>
      <c r="F21">
        <f t="shared" si="13"/>
        <v>1</v>
      </c>
      <c r="G21">
        <f t="shared" si="14"/>
        <v>1</v>
      </c>
      <c r="I21">
        <f t="shared" si="1"/>
        <v>13</v>
      </c>
      <c r="K21">
        <v>9</v>
      </c>
      <c r="L21">
        <v>1</v>
      </c>
      <c r="M21">
        <v>4</v>
      </c>
      <c r="N21">
        <f t="shared" si="2"/>
        <v>0.9</v>
      </c>
      <c r="O21">
        <f t="shared" si="3"/>
        <v>0.69230769230769229</v>
      </c>
      <c r="P21">
        <f t="shared" si="4"/>
        <v>0.78260869565217384</v>
      </c>
    </row>
    <row r="22" spans="1:16" x14ac:dyDescent="0.3">
      <c r="A22" t="s">
        <v>39</v>
      </c>
      <c r="B22">
        <v>16</v>
      </c>
      <c r="C22">
        <v>0</v>
      </c>
      <c r="D22">
        <v>2</v>
      </c>
      <c r="E22">
        <f t="shared" si="12"/>
        <v>1</v>
      </c>
      <c r="F22">
        <f t="shared" si="13"/>
        <v>0.88888888888888884</v>
      </c>
      <c r="G22">
        <f t="shared" si="14"/>
        <v>0.94117647058823528</v>
      </c>
      <c r="I22">
        <f t="shared" si="1"/>
        <v>18</v>
      </c>
      <c r="K22">
        <v>16</v>
      </c>
      <c r="L22">
        <v>3</v>
      </c>
      <c r="M22">
        <v>2</v>
      </c>
      <c r="N22">
        <f t="shared" si="2"/>
        <v>0.84210526315789469</v>
      </c>
      <c r="O22">
        <f t="shared" si="3"/>
        <v>0.88888888888888884</v>
      </c>
      <c r="P22">
        <f t="shared" si="4"/>
        <v>0.86486486486486491</v>
      </c>
    </row>
    <row r="23" spans="1:16" x14ac:dyDescent="0.3">
      <c r="A23" t="s">
        <v>40</v>
      </c>
      <c r="B23">
        <v>18</v>
      </c>
      <c r="C23">
        <v>0</v>
      </c>
      <c r="D23">
        <v>6</v>
      </c>
      <c r="E23">
        <f t="shared" si="12"/>
        <v>1</v>
      </c>
      <c r="F23">
        <f t="shared" si="13"/>
        <v>0.75</v>
      </c>
      <c r="G23">
        <f t="shared" si="14"/>
        <v>0.8571428571428571</v>
      </c>
      <c r="I23">
        <f t="shared" si="1"/>
        <v>24</v>
      </c>
      <c r="K23">
        <v>13</v>
      </c>
      <c r="L23">
        <v>4</v>
      </c>
      <c r="M23">
        <v>11</v>
      </c>
      <c r="N23">
        <f t="shared" si="2"/>
        <v>0.76470588235294112</v>
      </c>
      <c r="O23">
        <f t="shared" si="3"/>
        <v>0.54166666666666663</v>
      </c>
      <c r="P23">
        <f t="shared" si="4"/>
        <v>0.63414634146341464</v>
      </c>
    </row>
    <row r="24" spans="1:16" x14ac:dyDescent="0.3">
      <c r="A24" t="s">
        <v>42</v>
      </c>
      <c r="B24">
        <v>21</v>
      </c>
      <c r="C24">
        <v>0</v>
      </c>
      <c r="D24">
        <v>2</v>
      </c>
      <c r="E24">
        <f t="shared" ref="E24" si="15">B24/(B24+C24)</f>
        <v>1</v>
      </c>
      <c r="F24">
        <f t="shared" ref="F24" si="16">B24/(B24+D24)</f>
        <v>0.91304347826086951</v>
      </c>
      <c r="G24">
        <f t="shared" ref="G24" si="17">(2*E24*F24)/(E24+F24)</f>
        <v>0.95454545454545447</v>
      </c>
      <c r="I24">
        <f t="shared" si="1"/>
        <v>23</v>
      </c>
      <c r="K24">
        <v>19</v>
      </c>
      <c r="L24">
        <v>2</v>
      </c>
      <c r="M24">
        <v>4</v>
      </c>
      <c r="N24">
        <f t="shared" si="2"/>
        <v>0.90476190476190477</v>
      </c>
      <c r="O24">
        <f t="shared" si="3"/>
        <v>0.82608695652173914</v>
      </c>
      <c r="P24">
        <f t="shared" si="4"/>
        <v>0.86363636363636365</v>
      </c>
    </row>
    <row r="25" spans="1:16" x14ac:dyDescent="0.3">
      <c r="A25" t="s">
        <v>41</v>
      </c>
      <c r="B25">
        <v>28</v>
      </c>
      <c r="C25">
        <v>1</v>
      </c>
      <c r="D25">
        <v>4</v>
      </c>
      <c r="E25">
        <f t="shared" ref="E25:E36" si="18">B25/(B25+C25)</f>
        <v>0.96551724137931039</v>
      </c>
      <c r="F25">
        <f t="shared" ref="F25:F36" si="19">B25/(B25+D25)</f>
        <v>0.875</v>
      </c>
      <c r="G25">
        <f t="shared" ref="G25:G36" si="20">(2*E25*F25)/(E25+F25)</f>
        <v>0.91803278688524581</v>
      </c>
      <c r="I25">
        <f t="shared" si="1"/>
        <v>32</v>
      </c>
      <c r="K25">
        <v>18</v>
      </c>
      <c r="L25">
        <v>2</v>
      </c>
      <c r="M25">
        <v>14</v>
      </c>
      <c r="N25">
        <f t="shared" si="2"/>
        <v>0.9</v>
      </c>
      <c r="O25">
        <f t="shared" si="3"/>
        <v>0.5625</v>
      </c>
      <c r="P25">
        <f t="shared" si="4"/>
        <v>0.69230769230769229</v>
      </c>
    </row>
    <row r="26" spans="1:16" x14ac:dyDescent="0.3">
      <c r="A26" t="s">
        <v>43</v>
      </c>
      <c r="B26">
        <v>36</v>
      </c>
      <c r="C26">
        <v>1</v>
      </c>
      <c r="D26">
        <v>8</v>
      </c>
      <c r="E26">
        <f t="shared" si="18"/>
        <v>0.97297297297297303</v>
      </c>
      <c r="F26">
        <f t="shared" si="19"/>
        <v>0.81818181818181823</v>
      </c>
      <c r="G26">
        <f t="shared" si="20"/>
        <v>0.88888888888888906</v>
      </c>
      <c r="I26">
        <f t="shared" si="1"/>
        <v>44</v>
      </c>
      <c r="K26">
        <v>38</v>
      </c>
      <c r="L26">
        <v>3</v>
      </c>
      <c r="M26">
        <v>6</v>
      </c>
      <c r="N26">
        <f t="shared" si="2"/>
        <v>0.92682926829268297</v>
      </c>
      <c r="O26">
        <f t="shared" si="3"/>
        <v>0.86363636363636365</v>
      </c>
      <c r="P26">
        <f t="shared" si="4"/>
        <v>0.89411764705882357</v>
      </c>
    </row>
    <row r="27" spans="1:16" x14ac:dyDescent="0.3">
      <c r="A27" t="s">
        <v>44</v>
      </c>
      <c r="B27">
        <v>34</v>
      </c>
      <c r="C27">
        <v>1</v>
      </c>
      <c r="D27">
        <v>5</v>
      </c>
      <c r="E27">
        <f t="shared" si="18"/>
        <v>0.97142857142857142</v>
      </c>
      <c r="F27">
        <f t="shared" si="19"/>
        <v>0.87179487179487181</v>
      </c>
      <c r="G27">
        <f t="shared" si="20"/>
        <v>0.91891891891891886</v>
      </c>
      <c r="I27">
        <f t="shared" si="1"/>
        <v>39</v>
      </c>
      <c r="K27">
        <v>28</v>
      </c>
      <c r="L27">
        <v>0</v>
      </c>
      <c r="M27">
        <v>11</v>
      </c>
      <c r="N27">
        <f t="shared" si="2"/>
        <v>1</v>
      </c>
      <c r="O27">
        <f t="shared" si="3"/>
        <v>0.71794871794871795</v>
      </c>
      <c r="P27">
        <f t="shared" si="4"/>
        <v>0.83582089552238803</v>
      </c>
    </row>
    <row r="28" spans="1:16" x14ac:dyDescent="0.3">
      <c r="A28" t="s">
        <v>45</v>
      </c>
      <c r="B28">
        <v>13</v>
      </c>
      <c r="C28">
        <v>1</v>
      </c>
      <c r="D28">
        <v>6</v>
      </c>
      <c r="E28">
        <f t="shared" si="18"/>
        <v>0.9285714285714286</v>
      </c>
      <c r="F28">
        <f t="shared" si="19"/>
        <v>0.68421052631578949</v>
      </c>
      <c r="G28">
        <f t="shared" si="20"/>
        <v>0.78787878787878785</v>
      </c>
      <c r="I28">
        <f t="shared" si="1"/>
        <v>19</v>
      </c>
      <c r="K28">
        <v>15</v>
      </c>
      <c r="L28">
        <v>0</v>
      </c>
      <c r="M28">
        <v>4</v>
      </c>
      <c r="N28">
        <f t="shared" si="2"/>
        <v>1</v>
      </c>
      <c r="O28">
        <f t="shared" si="3"/>
        <v>0.78947368421052633</v>
      </c>
      <c r="P28">
        <f t="shared" si="4"/>
        <v>0.88235294117647056</v>
      </c>
    </row>
    <row r="29" spans="1:16" x14ac:dyDescent="0.3">
      <c r="A29" t="s">
        <v>46</v>
      </c>
      <c r="B29">
        <v>11</v>
      </c>
      <c r="C29">
        <v>1</v>
      </c>
      <c r="D29">
        <v>6</v>
      </c>
      <c r="E29">
        <f t="shared" si="18"/>
        <v>0.91666666666666663</v>
      </c>
      <c r="F29">
        <f t="shared" si="19"/>
        <v>0.6470588235294118</v>
      </c>
      <c r="G29">
        <f t="shared" si="20"/>
        <v>0.75862068965517238</v>
      </c>
      <c r="I29">
        <f t="shared" si="1"/>
        <v>17</v>
      </c>
      <c r="K29">
        <v>13</v>
      </c>
      <c r="L29">
        <v>1</v>
      </c>
      <c r="M29">
        <v>4</v>
      </c>
      <c r="N29">
        <f t="shared" si="2"/>
        <v>0.9285714285714286</v>
      </c>
      <c r="O29">
        <f t="shared" si="3"/>
        <v>0.76470588235294112</v>
      </c>
      <c r="P29">
        <f t="shared" si="4"/>
        <v>0.83870967741935487</v>
      </c>
    </row>
    <row r="30" spans="1:16" x14ac:dyDescent="0.3">
      <c r="A30" t="s">
        <v>47</v>
      </c>
      <c r="B30">
        <v>32</v>
      </c>
      <c r="C30">
        <v>0</v>
      </c>
      <c r="D30">
        <v>10</v>
      </c>
      <c r="E30">
        <f t="shared" si="18"/>
        <v>1</v>
      </c>
      <c r="F30">
        <f t="shared" si="19"/>
        <v>0.76190476190476186</v>
      </c>
      <c r="G30">
        <f t="shared" si="20"/>
        <v>0.8648648648648648</v>
      </c>
      <c r="I30">
        <f t="shared" si="1"/>
        <v>42</v>
      </c>
      <c r="K30">
        <v>23</v>
      </c>
      <c r="L30">
        <v>3</v>
      </c>
      <c r="M30">
        <v>19</v>
      </c>
      <c r="N30">
        <f t="shared" si="2"/>
        <v>0.88461538461538458</v>
      </c>
      <c r="O30">
        <f t="shared" si="3"/>
        <v>0.54761904761904767</v>
      </c>
      <c r="P30">
        <f t="shared" si="4"/>
        <v>0.67647058823529416</v>
      </c>
    </row>
    <row r="31" spans="1:16" x14ac:dyDescent="0.3">
      <c r="A31" t="s">
        <v>48</v>
      </c>
      <c r="B31">
        <v>24</v>
      </c>
      <c r="C31">
        <v>10</v>
      </c>
      <c r="D31">
        <v>7</v>
      </c>
      <c r="E31">
        <f t="shared" si="18"/>
        <v>0.70588235294117652</v>
      </c>
      <c r="F31">
        <f t="shared" si="19"/>
        <v>0.77419354838709675</v>
      </c>
      <c r="G31">
        <f t="shared" si="20"/>
        <v>0.7384615384615385</v>
      </c>
      <c r="I31">
        <f t="shared" si="1"/>
        <v>31</v>
      </c>
      <c r="K31">
        <v>22</v>
      </c>
      <c r="L31">
        <v>6</v>
      </c>
      <c r="M31">
        <v>9</v>
      </c>
      <c r="N31">
        <f>K31/(K31+L31)</f>
        <v>0.7857142857142857</v>
      </c>
      <c r="O31">
        <f t="shared" si="3"/>
        <v>0.70967741935483875</v>
      </c>
      <c r="P31">
        <f t="shared" si="4"/>
        <v>0.74576271186440679</v>
      </c>
    </row>
    <row r="32" spans="1:16" x14ac:dyDescent="0.3">
      <c r="A32" t="s">
        <v>49</v>
      </c>
      <c r="B32">
        <v>24</v>
      </c>
      <c r="C32">
        <v>1</v>
      </c>
      <c r="D32">
        <v>2</v>
      </c>
      <c r="E32">
        <f t="shared" si="18"/>
        <v>0.96</v>
      </c>
      <c r="F32">
        <f t="shared" si="19"/>
        <v>0.92307692307692313</v>
      </c>
      <c r="G32">
        <f t="shared" si="20"/>
        <v>0.94117647058823528</v>
      </c>
      <c r="I32">
        <f t="shared" si="1"/>
        <v>26</v>
      </c>
      <c r="K32">
        <v>20</v>
      </c>
      <c r="L32">
        <v>7</v>
      </c>
      <c r="M32">
        <v>6</v>
      </c>
      <c r="N32">
        <f t="shared" si="2"/>
        <v>0.7407407407407407</v>
      </c>
      <c r="O32">
        <f t="shared" si="3"/>
        <v>0.76923076923076927</v>
      </c>
      <c r="P32">
        <f t="shared" si="4"/>
        <v>0.75471698113207542</v>
      </c>
    </row>
    <row r="33" spans="1:16" x14ac:dyDescent="0.3">
      <c r="A33" t="s">
        <v>50</v>
      </c>
      <c r="B33">
        <v>13</v>
      </c>
      <c r="C33">
        <v>2</v>
      </c>
      <c r="D33">
        <v>4</v>
      </c>
      <c r="E33">
        <f t="shared" si="18"/>
        <v>0.8666666666666667</v>
      </c>
      <c r="F33">
        <f t="shared" si="19"/>
        <v>0.76470588235294112</v>
      </c>
      <c r="G33">
        <f t="shared" si="20"/>
        <v>0.8125</v>
      </c>
      <c r="I33">
        <f t="shared" si="1"/>
        <v>17</v>
      </c>
      <c r="K33">
        <v>10</v>
      </c>
      <c r="L33">
        <v>10</v>
      </c>
      <c r="M33">
        <v>7</v>
      </c>
      <c r="N33">
        <f t="shared" si="2"/>
        <v>0.5</v>
      </c>
      <c r="O33">
        <f t="shared" si="3"/>
        <v>0.58823529411764708</v>
      </c>
      <c r="P33">
        <f t="shared" si="4"/>
        <v>0.54054054054054046</v>
      </c>
    </row>
    <row r="34" spans="1:16" x14ac:dyDescent="0.3">
      <c r="A34" t="s">
        <v>51</v>
      </c>
      <c r="B34">
        <v>13</v>
      </c>
      <c r="C34">
        <v>0</v>
      </c>
      <c r="D34">
        <v>4</v>
      </c>
      <c r="E34">
        <f t="shared" si="18"/>
        <v>1</v>
      </c>
      <c r="F34">
        <f t="shared" si="19"/>
        <v>0.76470588235294112</v>
      </c>
      <c r="G34">
        <f t="shared" si="20"/>
        <v>0.86666666666666659</v>
      </c>
      <c r="I34">
        <f t="shared" si="1"/>
        <v>17</v>
      </c>
      <c r="K34">
        <v>16</v>
      </c>
      <c r="L34">
        <v>6</v>
      </c>
      <c r="M34">
        <v>1</v>
      </c>
      <c r="N34">
        <f t="shared" si="2"/>
        <v>0.72727272727272729</v>
      </c>
      <c r="O34">
        <f t="shared" si="3"/>
        <v>0.94117647058823528</v>
      </c>
      <c r="P34">
        <f t="shared" si="4"/>
        <v>0.82051282051282048</v>
      </c>
    </row>
    <row r="35" spans="1:16" x14ac:dyDescent="0.3">
      <c r="A35" t="s">
        <v>52</v>
      </c>
      <c r="B35">
        <v>13</v>
      </c>
      <c r="C35">
        <v>2</v>
      </c>
      <c r="D35">
        <v>4</v>
      </c>
      <c r="E35">
        <f t="shared" si="18"/>
        <v>0.8666666666666667</v>
      </c>
      <c r="F35">
        <f t="shared" si="19"/>
        <v>0.76470588235294112</v>
      </c>
      <c r="G35">
        <f t="shared" si="20"/>
        <v>0.8125</v>
      </c>
      <c r="I35">
        <f t="shared" si="1"/>
        <v>17</v>
      </c>
      <c r="K35">
        <v>10</v>
      </c>
      <c r="L35">
        <v>4</v>
      </c>
      <c r="M35">
        <v>7</v>
      </c>
      <c r="N35">
        <f t="shared" si="2"/>
        <v>0.7142857142857143</v>
      </c>
      <c r="O35">
        <f t="shared" si="3"/>
        <v>0.58823529411764708</v>
      </c>
      <c r="P35">
        <f t="shared" si="4"/>
        <v>0.64516129032258063</v>
      </c>
    </row>
    <row r="36" spans="1:16" x14ac:dyDescent="0.3">
      <c r="A36" t="s">
        <v>53</v>
      </c>
      <c r="B36">
        <v>11</v>
      </c>
      <c r="C36">
        <v>2</v>
      </c>
      <c r="D36">
        <v>0</v>
      </c>
      <c r="E36">
        <f t="shared" si="18"/>
        <v>0.84615384615384615</v>
      </c>
      <c r="F36">
        <f t="shared" si="19"/>
        <v>1</v>
      </c>
      <c r="G36">
        <f t="shared" si="20"/>
        <v>0.91666666666666663</v>
      </c>
      <c r="I36">
        <f>B36+D36</f>
        <v>11</v>
      </c>
      <c r="K36">
        <v>8</v>
      </c>
      <c r="L36">
        <v>3</v>
      </c>
      <c r="M36">
        <v>3</v>
      </c>
      <c r="N36">
        <f t="shared" si="2"/>
        <v>0.72727272727272729</v>
      </c>
      <c r="O36">
        <f t="shared" si="3"/>
        <v>0.72727272727272729</v>
      </c>
      <c r="P36">
        <f t="shared" si="4"/>
        <v>0.72727272727272729</v>
      </c>
    </row>
    <row r="38" spans="1:16" x14ac:dyDescent="0.3">
      <c r="E38">
        <f>AVERAGE(E2:E36)</f>
        <v>0.93510007002032192</v>
      </c>
      <c r="F38">
        <f>AVERAGE(F2:F36)</f>
        <v>0.83835719252978058</v>
      </c>
      <c r="G38">
        <f>AVERAGE(G2:G36)</f>
        <v>0.88053164641336079</v>
      </c>
      <c r="N38">
        <f>AVERAGE(N2:N36)</f>
        <v>0.81923660633449635</v>
      </c>
      <c r="O38">
        <f>AVERAGE(O2:O36)</f>
        <v>0.70976657635207252</v>
      </c>
      <c r="P38">
        <f>AVERAGE(P2:P36)</f>
        <v>0.75170294442091579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D2FC-D387-40F9-86E6-23A0A9442952}">
  <dimension ref="A1:P32"/>
  <sheetViews>
    <sheetView topLeftCell="A16" workbookViewId="0">
      <selection activeCell="G2" sqref="G2"/>
    </sheetView>
  </sheetViews>
  <sheetFormatPr defaultRowHeight="14.4" x14ac:dyDescent="0.3"/>
  <cols>
    <col min="1" max="1" width="19" bestFit="1" customWidth="1"/>
    <col min="9" max="9" width="11.77734375" bestFit="1" customWidth="1"/>
    <col min="14" max="14" width="13.88671875" bestFit="1" customWidth="1"/>
    <col min="15" max="15" width="11.33203125" bestFit="1" customWidth="1"/>
    <col min="16" max="16" width="13.44140625" bestFit="1" customWidth="1"/>
  </cols>
  <sheetData>
    <row r="1" spans="1:16" x14ac:dyDescent="0.3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15</v>
      </c>
      <c r="I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3">
      <c r="A2" t="s">
        <v>54</v>
      </c>
      <c r="B2">
        <v>84</v>
      </c>
      <c r="C2">
        <v>8</v>
      </c>
      <c r="D2">
        <v>13</v>
      </c>
      <c r="E2">
        <f>B2/(B2+C2)</f>
        <v>0.91304347826086951</v>
      </c>
      <c r="F2">
        <f>B2/(B2+D2)</f>
        <v>0.865979381443299</v>
      </c>
      <c r="G2">
        <f>(2*E2*F2)/(E2+F2)</f>
        <v>0.88888888888888884</v>
      </c>
      <c r="I2">
        <f>B2+D2</f>
        <v>97</v>
      </c>
      <c r="K2">
        <v>67</v>
      </c>
      <c r="L2">
        <v>7</v>
      </c>
      <c r="M2">
        <v>30</v>
      </c>
      <c r="N2">
        <f>K2/(K2+L2)</f>
        <v>0.90540540540540537</v>
      </c>
      <c r="O2">
        <f>K2/(K2+M2)</f>
        <v>0.69072164948453607</v>
      </c>
      <c r="P2">
        <f>(2*N2*O2)/(N2+O2)</f>
        <v>0.783625730994152</v>
      </c>
    </row>
    <row r="3" spans="1:16" x14ac:dyDescent="0.3">
      <c r="A3" t="s">
        <v>55</v>
      </c>
      <c r="B3">
        <v>77</v>
      </c>
      <c r="C3">
        <v>5</v>
      </c>
      <c r="D3">
        <v>12</v>
      </c>
      <c r="E3">
        <f>B3/(B3+C3)</f>
        <v>0.93902439024390238</v>
      </c>
      <c r="F3">
        <f t="shared" ref="F3:F9" si="0">B3/(B3+D3)</f>
        <v>0.8651685393258427</v>
      </c>
      <c r="G3">
        <f t="shared" ref="G3:G9" si="1">(2*E3*F3)/(E3+F3)</f>
        <v>0.90058479532163727</v>
      </c>
      <c r="I3">
        <f t="shared" ref="I3:I30" si="2">B3+D3</f>
        <v>89</v>
      </c>
      <c r="K3">
        <v>60</v>
      </c>
      <c r="L3">
        <v>10</v>
      </c>
      <c r="M3">
        <v>29</v>
      </c>
      <c r="N3">
        <f t="shared" ref="N3:N30" si="3">K3/(K3+L3)</f>
        <v>0.8571428571428571</v>
      </c>
      <c r="O3">
        <f t="shared" ref="O3:O30" si="4">K3/(K3+M3)</f>
        <v>0.6741573033707865</v>
      </c>
      <c r="P3">
        <f t="shared" ref="P3:P30" si="5">(2*N3*O3)/(N3+O3)</f>
        <v>0.75471698113207542</v>
      </c>
    </row>
    <row r="4" spans="1:16" x14ac:dyDescent="0.3">
      <c r="A4" t="s">
        <v>56</v>
      </c>
      <c r="B4">
        <v>86</v>
      </c>
      <c r="C4">
        <v>7</v>
      </c>
      <c r="D4">
        <v>13</v>
      </c>
      <c r="E4">
        <f t="shared" ref="E4:E9" si="6">B4/(B4+C4)</f>
        <v>0.92473118279569888</v>
      </c>
      <c r="F4">
        <f t="shared" si="0"/>
        <v>0.86868686868686873</v>
      </c>
      <c r="G4">
        <f t="shared" si="1"/>
        <v>0.89583333333333337</v>
      </c>
      <c r="I4">
        <f t="shared" si="2"/>
        <v>99</v>
      </c>
      <c r="K4">
        <v>59</v>
      </c>
      <c r="L4">
        <v>4</v>
      </c>
      <c r="M4">
        <v>40</v>
      </c>
      <c r="N4">
        <f t="shared" si="3"/>
        <v>0.93650793650793651</v>
      </c>
      <c r="O4">
        <f t="shared" si="4"/>
        <v>0.59595959595959591</v>
      </c>
      <c r="P4">
        <f t="shared" si="5"/>
        <v>0.72839506172839508</v>
      </c>
    </row>
    <row r="5" spans="1:16" x14ac:dyDescent="0.3">
      <c r="A5" t="s">
        <v>57</v>
      </c>
      <c r="B5">
        <v>74</v>
      </c>
      <c r="C5">
        <v>3</v>
      </c>
      <c r="D5">
        <v>17</v>
      </c>
      <c r="E5">
        <f t="shared" si="6"/>
        <v>0.96103896103896103</v>
      </c>
      <c r="F5">
        <f t="shared" si="0"/>
        <v>0.81318681318681318</v>
      </c>
      <c r="G5">
        <f t="shared" si="1"/>
        <v>0.88095238095238104</v>
      </c>
      <c r="I5">
        <f t="shared" si="2"/>
        <v>91</v>
      </c>
      <c r="K5">
        <v>65</v>
      </c>
      <c r="L5">
        <v>8</v>
      </c>
      <c r="M5">
        <v>26</v>
      </c>
      <c r="N5">
        <f t="shared" si="3"/>
        <v>0.8904109589041096</v>
      </c>
      <c r="O5">
        <f t="shared" si="4"/>
        <v>0.7142857142857143</v>
      </c>
      <c r="P5">
        <f t="shared" si="5"/>
        <v>0.79268292682926822</v>
      </c>
    </row>
    <row r="6" spans="1:16" x14ac:dyDescent="0.3">
      <c r="A6" t="s">
        <v>58</v>
      </c>
      <c r="B6">
        <v>81</v>
      </c>
      <c r="C6">
        <v>2</v>
      </c>
      <c r="D6">
        <v>20</v>
      </c>
      <c r="E6">
        <f t="shared" si="6"/>
        <v>0.97590361445783136</v>
      </c>
      <c r="F6">
        <f t="shared" si="0"/>
        <v>0.80198019801980203</v>
      </c>
      <c r="G6">
        <f t="shared" si="1"/>
        <v>0.88043478260869579</v>
      </c>
      <c r="I6">
        <f t="shared" si="2"/>
        <v>101</v>
      </c>
      <c r="K6">
        <v>65</v>
      </c>
      <c r="L6">
        <v>9</v>
      </c>
      <c r="M6">
        <v>36</v>
      </c>
      <c r="N6">
        <f t="shared" si="3"/>
        <v>0.8783783783783784</v>
      </c>
      <c r="O6">
        <f t="shared" si="4"/>
        <v>0.64356435643564358</v>
      </c>
      <c r="P6">
        <f t="shared" si="5"/>
        <v>0.74285714285714288</v>
      </c>
    </row>
    <row r="7" spans="1:16" x14ac:dyDescent="0.3">
      <c r="A7" t="s">
        <v>59</v>
      </c>
      <c r="B7">
        <v>101</v>
      </c>
      <c r="C7">
        <v>0</v>
      </c>
      <c r="D7">
        <v>25</v>
      </c>
      <c r="E7">
        <f t="shared" si="6"/>
        <v>1</v>
      </c>
      <c r="F7">
        <f t="shared" si="0"/>
        <v>0.80158730158730163</v>
      </c>
      <c r="G7">
        <f t="shared" si="1"/>
        <v>0.88986784140969166</v>
      </c>
      <c r="I7">
        <f t="shared" si="2"/>
        <v>126</v>
      </c>
      <c r="K7">
        <v>96</v>
      </c>
      <c r="L7">
        <v>2</v>
      </c>
      <c r="M7">
        <v>30</v>
      </c>
      <c r="N7">
        <f t="shared" si="3"/>
        <v>0.97959183673469385</v>
      </c>
      <c r="O7">
        <f t="shared" si="4"/>
        <v>0.76190476190476186</v>
      </c>
      <c r="P7">
        <f t="shared" si="5"/>
        <v>0.85714285714285721</v>
      </c>
    </row>
    <row r="8" spans="1:16" x14ac:dyDescent="0.3">
      <c r="A8" t="s">
        <v>60</v>
      </c>
      <c r="B8">
        <v>71</v>
      </c>
      <c r="C8">
        <v>0</v>
      </c>
      <c r="D8">
        <v>21</v>
      </c>
      <c r="E8">
        <f t="shared" si="6"/>
        <v>1</v>
      </c>
      <c r="F8">
        <f t="shared" si="0"/>
        <v>0.77173913043478259</v>
      </c>
      <c r="G8">
        <f t="shared" si="1"/>
        <v>0.87116564417177911</v>
      </c>
      <c r="I8">
        <f t="shared" si="2"/>
        <v>92</v>
      </c>
      <c r="K8">
        <v>63</v>
      </c>
      <c r="L8">
        <v>3</v>
      </c>
      <c r="M8">
        <v>29</v>
      </c>
      <c r="N8">
        <f t="shared" si="3"/>
        <v>0.95454545454545459</v>
      </c>
      <c r="O8">
        <f t="shared" si="4"/>
        <v>0.68478260869565222</v>
      </c>
      <c r="P8">
        <f t="shared" si="5"/>
        <v>0.79746835443037967</v>
      </c>
    </row>
    <row r="9" spans="1:16" x14ac:dyDescent="0.3">
      <c r="A9" t="s">
        <v>61</v>
      </c>
      <c r="B9">
        <v>114</v>
      </c>
      <c r="C9">
        <v>2</v>
      </c>
      <c r="D9">
        <v>29</v>
      </c>
      <c r="E9">
        <f t="shared" si="6"/>
        <v>0.98275862068965514</v>
      </c>
      <c r="F9">
        <f t="shared" si="0"/>
        <v>0.79720279720279719</v>
      </c>
      <c r="G9">
        <f t="shared" si="1"/>
        <v>0.88030888030888033</v>
      </c>
      <c r="I9">
        <f t="shared" si="2"/>
        <v>143</v>
      </c>
      <c r="K9">
        <v>50</v>
      </c>
      <c r="L9">
        <v>5</v>
      </c>
      <c r="M9">
        <v>64</v>
      </c>
      <c r="N9">
        <f t="shared" si="3"/>
        <v>0.90909090909090906</v>
      </c>
      <c r="O9">
        <f t="shared" si="4"/>
        <v>0.43859649122807015</v>
      </c>
      <c r="P9">
        <f t="shared" si="5"/>
        <v>0.59171597633136097</v>
      </c>
    </row>
    <row r="10" spans="1:16" x14ac:dyDescent="0.3">
      <c r="A10" t="s">
        <v>62</v>
      </c>
      <c r="B10">
        <v>70</v>
      </c>
      <c r="C10">
        <v>1</v>
      </c>
      <c r="D10">
        <v>28</v>
      </c>
      <c r="E10">
        <f t="shared" ref="E10:E15" si="7">B10/(B10+C10)</f>
        <v>0.9859154929577465</v>
      </c>
      <c r="F10">
        <f t="shared" ref="F10:F15" si="8">B10/(B10+D10)</f>
        <v>0.7142857142857143</v>
      </c>
      <c r="G10">
        <f t="shared" ref="G10:G15" si="9">(2*E10*F10)/(E10+F10)</f>
        <v>0.82840236686390534</v>
      </c>
      <c r="I10">
        <f t="shared" si="2"/>
        <v>98</v>
      </c>
      <c r="K10">
        <v>71</v>
      </c>
      <c r="L10">
        <v>2</v>
      </c>
      <c r="M10">
        <v>27</v>
      </c>
      <c r="N10">
        <f t="shared" si="3"/>
        <v>0.9726027397260274</v>
      </c>
      <c r="O10">
        <f t="shared" si="4"/>
        <v>0.72448979591836737</v>
      </c>
      <c r="P10">
        <f t="shared" si="5"/>
        <v>0.83040935672514626</v>
      </c>
    </row>
    <row r="11" spans="1:16" x14ac:dyDescent="0.3">
      <c r="A11" t="s">
        <v>63</v>
      </c>
      <c r="B11">
        <v>101</v>
      </c>
      <c r="C11">
        <v>1</v>
      </c>
      <c r="D11">
        <v>26</v>
      </c>
      <c r="E11">
        <f t="shared" si="7"/>
        <v>0.99019607843137258</v>
      </c>
      <c r="F11">
        <f t="shared" si="8"/>
        <v>0.79527559055118113</v>
      </c>
      <c r="G11">
        <f t="shared" si="9"/>
        <v>0.88209606986899569</v>
      </c>
      <c r="I11">
        <f t="shared" si="2"/>
        <v>127</v>
      </c>
      <c r="K11">
        <v>86</v>
      </c>
      <c r="L11">
        <v>2</v>
      </c>
      <c r="M11">
        <v>41</v>
      </c>
      <c r="N11">
        <f t="shared" si="3"/>
        <v>0.97727272727272729</v>
      </c>
      <c r="O11">
        <f t="shared" si="4"/>
        <v>0.67716535433070868</v>
      </c>
      <c r="P11">
        <f t="shared" si="5"/>
        <v>0.8</v>
      </c>
    </row>
    <row r="12" spans="1:16" x14ac:dyDescent="0.3">
      <c r="A12" t="s">
        <v>64</v>
      </c>
      <c r="B12">
        <v>133</v>
      </c>
      <c r="C12">
        <v>1</v>
      </c>
      <c r="D12">
        <v>31</v>
      </c>
      <c r="E12">
        <f t="shared" si="7"/>
        <v>0.9925373134328358</v>
      </c>
      <c r="F12">
        <f t="shared" si="8"/>
        <v>0.81097560975609762</v>
      </c>
      <c r="G12">
        <f t="shared" si="9"/>
        <v>0.89261744966442969</v>
      </c>
      <c r="I12">
        <f t="shared" si="2"/>
        <v>164</v>
      </c>
      <c r="K12">
        <v>126</v>
      </c>
      <c r="L12">
        <v>2</v>
      </c>
      <c r="M12">
        <v>38</v>
      </c>
      <c r="N12">
        <f t="shared" si="3"/>
        <v>0.984375</v>
      </c>
      <c r="O12">
        <f t="shared" si="4"/>
        <v>0.76829268292682928</v>
      </c>
      <c r="P12">
        <f t="shared" si="5"/>
        <v>0.86301369863013699</v>
      </c>
    </row>
    <row r="13" spans="1:16" x14ac:dyDescent="0.3">
      <c r="A13" t="s">
        <v>65</v>
      </c>
      <c r="B13">
        <v>134</v>
      </c>
      <c r="C13">
        <v>1</v>
      </c>
      <c r="D13">
        <v>32</v>
      </c>
      <c r="E13">
        <f t="shared" si="7"/>
        <v>0.99259259259259258</v>
      </c>
      <c r="F13">
        <f t="shared" si="8"/>
        <v>0.80722891566265065</v>
      </c>
      <c r="G13">
        <f t="shared" si="9"/>
        <v>0.89036544850498334</v>
      </c>
      <c r="I13">
        <f t="shared" si="2"/>
        <v>166</v>
      </c>
      <c r="K13">
        <v>102</v>
      </c>
      <c r="L13">
        <v>8</v>
      </c>
      <c r="M13">
        <v>64</v>
      </c>
      <c r="N13">
        <f t="shared" si="3"/>
        <v>0.92727272727272725</v>
      </c>
      <c r="O13">
        <f t="shared" si="4"/>
        <v>0.61445783132530118</v>
      </c>
      <c r="P13">
        <f t="shared" si="5"/>
        <v>0.73913043478260854</v>
      </c>
    </row>
    <row r="14" spans="1:16" x14ac:dyDescent="0.3">
      <c r="A14" t="s">
        <v>66</v>
      </c>
      <c r="B14">
        <v>40</v>
      </c>
      <c r="C14">
        <v>1</v>
      </c>
      <c r="D14">
        <v>4</v>
      </c>
      <c r="E14">
        <f t="shared" si="7"/>
        <v>0.97560975609756095</v>
      </c>
      <c r="F14">
        <f t="shared" si="8"/>
        <v>0.90909090909090906</v>
      </c>
      <c r="G14">
        <f t="shared" si="9"/>
        <v>0.94117647058823517</v>
      </c>
      <c r="I14">
        <f t="shared" si="2"/>
        <v>44</v>
      </c>
      <c r="K14">
        <v>32</v>
      </c>
      <c r="L14">
        <v>4</v>
      </c>
      <c r="M14">
        <v>12</v>
      </c>
      <c r="N14">
        <f t="shared" si="3"/>
        <v>0.88888888888888884</v>
      </c>
      <c r="O14">
        <f t="shared" si="4"/>
        <v>0.72727272727272729</v>
      </c>
      <c r="P14">
        <f t="shared" si="5"/>
        <v>0.79999999999999993</v>
      </c>
    </row>
    <row r="15" spans="1:16" x14ac:dyDescent="0.3">
      <c r="A15" t="s">
        <v>67</v>
      </c>
      <c r="B15">
        <v>76</v>
      </c>
      <c r="C15">
        <v>0</v>
      </c>
      <c r="D15">
        <v>11</v>
      </c>
      <c r="E15">
        <f t="shared" si="7"/>
        <v>1</v>
      </c>
      <c r="F15">
        <f t="shared" si="8"/>
        <v>0.87356321839080464</v>
      </c>
      <c r="G15">
        <f t="shared" si="9"/>
        <v>0.93251533742331294</v>
      </c>
      <c r="I15">
        <f t="shared" si="2"/>
        <v>87</v>
      </c>
      <c r="K15">
        <v>74</v>
      </c>
      <c r="L15">
        <v>5</v>
      </c>
      <c r="M15">
        <v>13</v>
      </c>
      <c r="N15">
        <f t="shared" si="3"/>
        <v>0.93670886075949367</v>
      </c>
      <c r="O15">
        <f t="shared" si="4"/>
        <v>0.85057471264367812</v>
      </c>
      <c r="P15">
        <f t="shared" si="5"/>
        <v>0.89156626506024095</v>
      </c>
    </row>
    <row r="16" spans="1:16" x14ac:dyDescent="0.3">
      <c r="A16" t="s">
        <v>68</v>
      </c>
      <c r="B16">
        <v>50</v>
      </c>
      <c r="C16">
        <v>0</v>
      </c>
      <c r="D16">
        <v>10</v>
      </c>
      <c r="E16">
        <f t="shared" ref="E16:E24" si="10">B16/(B16+C16)</f>
        <v>1</v>
      </c>
      <c r="F16">
        <f t="shared" ref="F16:F24" si="11">B16/(B16+D16)</f>
        <v>0.83333333333333337</v>
      </c>
      <c r="G16">
        <f t="shared" ref="G16:G24" si="12">(2*E16*F16)/(E16+F16)</f>
        <v>0.90909090909090906</v>
      </c>
      <c r="I16">
        <f t="shared" si="2"/>
        <v>60</v>
      </c>
      <c r="K16">
        <v>45</v>
      </c>
      <c r="L16">
        <v>4</v>
      </c>
      <c r="M16">
        <v>15</v>
      </c>
      <c r="N16">
        <f t="shared" si="3"/>
        <v>0.91836734693877553</v>
      </c>
      <c r="O16">
        <f t="shared" si="4"/>
        <v>0.75</v>
      </c>
      <c r="P16">
        <f t="shared" si="5"/>
        <v>0.82568807339449546</v>
      </c>
    </row>
    <row r="17" spans="1:16" x14ac:dyDescent="0.3">
      <c r="A17" t="s">
        <v>69</v>
      </c>
      <c r="B17">
        <v>44</v>
      </c>
      <c r="C17">
        <v>1</v>
      </c>
      <c r="D17">
        <v>11</v>
      </c>
      <c r="E17">
        <f t="shared" si="10"/>
        <v>0.97777777777777775</v>
      </c>
      <c r="F17">
        <f t="shared" si="11"/>
        <v>0.8</v>
      </c>
      <c r="G17">
        <f t="shared" si="12"/>
        <v>0.88000000000000012</v>
      </c>
      <c r="I17">
        <f t="shared" si="2"/>
        <v>55</v>
      </c>
      <c r="K17">
        <v>40</v>
      </c>
      <c r="L17">
        <v>5</v>
      </c>
      <c r="M17">
        <v>15</v>
      </c>
      <c r="N17">
        <f t="shared" si="3"/>
        <v>0.88888888888888884</v>
      </c>
      <c r="O17">
        <f t="shared" si="4"/>
        <v>0.72727272727272729</v>
      </c>
      <c r="P17">
        <f t="shared" si="5"/>
        <v>0.79999999999999993</v>
      </c>
    </row>
    <row r="18" spans="1:16" x14ac:dyDescent="0.3">
      <c r="A18" t="s">
        <v>70</v>
      </c>
      <c r="B18">
        <v>53</v>
      </c>
      <c r="C18">
        <v>0</v>
      </c>
      <c r="D18">
        <v>6</v>
      </c>
      <c r="E18">
        <f t="shared" si="10"/>
        <v>1</v>
      </c>
      <c r="F18">
        <f t="shared" si="11"/>
        <v>0.89830508474576276</v>
      </c>
      <c r="G18">
        <f t="shared" si="12"/>
        <v>0.94642857142857151</v>
      </c>
      <c r="I18">
        <f t="shared" si="2"/>
        <v>59</v>
      </c>
      <c r="K18">
        <v>38</v>
      </c>
      <c r="L18">
        <v>4</v>
      </c>
      <c r="M18">
        <v>21</v>
      </c>
      <c r="N18">
        <f t="shared" si="3"/>
        <v>0.90476190476190477</v>
      </c>
      <c r="O18">
        <f t="shared" si="4"/>
        <v>0.64406779661016944</v>
      </c>
      <c r="P18">
        <f t="shared" si="5"/>
        <v>0.75247524752475248</v>
      </c>
    </row>
    <row r="19" spans="1:16" x14ac:dyDescent="0.3">
      <c r="A19" t="s">
        <v>71</v>
      </c>
      <c r="B19">
        <v>68</v>
      </c>
      <c r="C19">
        <v>0</v>
      </c>
      <c r="D19">
        <v>12</v>
      </c>
      <c r="E19">
        <f t="shared" si="10"/>
        <v>1</v>
      </c>
      <c r="F19">
        <f t="shared" si="11"/>
        <v>0.85</v>
      </c>
      <c r="G19">
        <f t="shared" si="12"/>
        <v>0.91891891891891886</v>
      </c>
      <c r="I19">
        <f t="shared" si="2"/>
        <v>80</v>
      </c>
      <c r="K19">
        <v>60</v>
      </c>
      <c r="L19">
        <v>2</v>
      </c>
      <c r="M19">
        <v>20</v>
      </c>
      <c r="N19">
        <f t="shared" si="3"/>
        <v>0.967741935483871</v>
      </c>
      <c r="O19">
        <f t="shared" si="4"/>
        <v>0.75</v>
      </c>
      <c r="P19">
        <f t="shared" si="5"/>
        <v>0.84507042253521125</v>
      </c>
    </row>
    <row r="20" spans="1:16" x14ac:dyDescent="0.3">
      <c r="A20" t="s">
        <v>72</v>
      </c>
      <c r="B20">
        <v>53</v>
      </c>
      <c r="C20">
        <v>0</v>
      </c>
      <c r="D20">
        <v>12</v>
      </c>
      <c r="E20">
        <f t="shared" si="10"/>
        <v>1</v>
      </c>
      <c r="F20">
        <f t="shared" si="11"/>
        <v>0.81538461538461537</v>
      </c>
      <c r="G20">
        <f t="shared" si="12"/>
        <v>0.89830508474576276</v>
      </c>
      <c r="I20">
        <f t="shared" si="2"/>
        <v>65</v>
      </c>
      <c r="K20">
        <v>52</v>
      </c>
      <c r="L20">
        <v>2</v>
      </c>
      <c r="M20">
        <v>13</v>
      </c>
      <c r="N20">
        <f t="shared" si="3"/>
        <v>0.96296296296296291</v>
      </c>
      <c r="O20">
        <f t="shared" si="4"/>
        <v>0.8</v>
      </c>
      <c r="P20">
        <f t="shared" si="5"/>
        <v>0.87394957983193278</v>
      </c>
    </row>
    <row r="21" spans="1:16" x14ac:dyDescent="0.3">
      <c r="A21" t="s">
        <v>73</v>
      </c>
      <c r="B21">
        <v>90</v>
      </c>
      <c r="C21">
        <v>5</v>
      </c>
      <c r="D21">
        <v>20</v>
      </c>
      <c r="E21">
        <f t="shared" si="10"/>
        <v>0.94736842105263153</v>
      </c>
      <c r="F21">
        <f t="shared" si="11"/>
        <v>0.81818181818181823</v>
      </c>
      <c r="G21">
        <f t="shared" si="12"/>
        <v>0.87804878048780488</v>
      </c>
      <c r="I21">
        <f t="shared" si="2"/>
        <v>110</v>
      </c>
      <c r="K21">
        <v>67</v>
      </c>
      <c r="L21">
        <v>6</v>
      </c>
      <c r="M21">
        <v>43</v>
      </c>
      <c r="N21">
        <f t="shared" si="3"/>
        <v>0.9178082191780822</v>
      </c>
      <c r="O21">
        <f t="shared" si="4"/>
        <v>0.60909090909090913</v>
      </c>
      <c r="P21">
        <f t="shared" si="5"/>
        <v>0.73224043715847009</v>
      </c>
    </row>
    <row r="22" spans="1:16" x14ac:dyDescent="0.3">
      <c r="A22" t="s">
        <v>74</v>
      </c>
      <c r="B22">
        <v>42</v>
      </c>
      <c r="C22">
        <v>0</v>
      </c>
      <c r="D22">
        <v>7</v>
      </c>
      <c r="E22">
        <f t="shared" si="10"/>
        <v>1</v>
      </c>
      <c r="F22">
        <f t="shared" si="11"/>
        <v>0.8571428571428571</v>
      </c>
      <c r="G22">
        <f t="shared" si="12"/>
        <v>0.92307692307692302</v>
      </c>
      <c r="I22">
        <v>49</v>
      </c>
      <c r="K22">
        <v>22</v>
      </c>
      <c r="L22">
        <v>4</v>
      </c>
      <c r="M22">
        <v>27</v>
      </c>
      <c r="N22">
        <f t="shared" si="3"/>
        <v>0.84615384615384615</v>
      </c>
      <c r="O22">
        <f t="shared" si="4"/>
        <v>0.44897959183673469</v>
      </c>
      <c r="P22">
        <f t="shared" si="5"/>
        <v>0.58666666666666667</v>
      </c>
    </row>
    <row r="23" spans="1:16" x14ac:dyDescent="0.3">
      <c r="A23" t="s">
        <v>75</v>
      </c>
      <c r="B23">
        <v>117</v>
      </c>
      <c r="C23">
        <v>0</v>
      </c>
      <c r="D23">
        <v>41</v>
      </c>
      <c r="E23">
        <f t="shared" si="10"/>
        <v>1</v>
      </c>
      <c r="F23">
        <f t="shared" si="11"/>
        <v>0.740506329113924</v>
      </c>
      <c r="G23">
        <f t="shared" si="12"/>
        <v>0.85090909090909084</v>
      </c>
      <c r="I23">
        <f t="shared" si="2"/>
        <v>158</v>
      </c>
      <c r="K23">
        <v>115</v>
      </c>
      <c r="L23">
        <v>1</v>
      </c>
      <c r="M23">
        <v>43</v>
      </c>
      <c r="N23">
        <f t="shared" si="3"/>
        <v>0.99137931034482762</v>
      </c>
      <c r="O23">
        <f t="shared" si="4"/>
        <v>0.72784810126582278</v>
      </c>
      <c r="P23">
        <f t="shared" si="5"/>
        <v>0.83941605839416045</v>
      </c>
    </row>
    <row r="24" spans="1:16" x14ac:dyDescent="0.3">
      <c r="A24" t="s">
        <v>76</v>
      </c>
      <c r="B24">
        <v>90</v>
      </c>
      <c r="C24">
        <v>9</v>
      </c>
      <c r="D24">
        <v>26</v>
      </c>
      <c r="E24">
        <f t="shared" si="10"/>
        <v>0.90909090909090906</v>
      </c>
      <c r="F24">
        <f t="shared" si="11"/>
        <v>0.77586206896551724</v>
      </c>
      <c r="G24">
        <f t="shared" si="12"/>
        <v>0.83720930232558144</v>
      </c>
      <c r="I24">
        <f t="shared" si="2"/>
        <v>116</v>
      </c>
      <c r="K24">
        <v>71</v>
      </c>
      <c r="L24">
        <v>3</v>
      </c>
      <c r="M24">
        <v>45</v>
      </c>
      <c r="N24">
        <f t="shared" si="3"/>
        <v>0.95945945945945943</v>
      </c>
      <c r="O24">
        <f t="shared" si="4"/>
        <v>0.61206896551724133</v>
      </c>
      <c r="P24">
        <f t="shared" si="5"/>
        <v>0.74736842105263157</v>
      </c>
    </row>
    <row r="25" spans="1:16" x14ac:dyDescent="0.3">
      <c r="A25" t="s">
        <v>77</v>
      </c>
      <c r="B25">
        <v>120</v>
      </c>
      <c r="C25">
        <v>8</v>
      </c>
      <c r="D25">
        <v>28</v>
      </c>
      <c r="E25">
        <f t="shared" ref="E25:E28" si="13">B25/(B25+C25)</f>
        <v>0.9375</v>
      </c>
      <c r="F25">
        <f t="shared" ref="F25:F28" si="14">B25/(B25+D25)</f>
        <v>0.81081081081081086</v>
      </c>
      <c r="G25">
        <f t="shared" ref="G25:G28" si="15">(2*E25*F25)/(E25+F25)</f>
        <v>0.86956521739130432</v>
      </c>
      <c r="I25">
        <f t="shared" si="2"/>
        <v>148</v>
      </c>
      <c r="K25">
        <v>96</v>
      </c>
      <c r="L25">
        <v>11</v>
      </c>
      <c r="M25">
        <v>53</v>
      </c>
      <c r="N25">
        <f t="shared" si="3"/>
        <v>0.89719626168224298</v>
      </c>
      <c r="O25">
        <f t="shared" si="4"/>
        <v>0.64429530201342278</v>
      </c>
      <c r="P25">
        <f t="shared" si="5"/>
        <v>0.74999999999999989</v>
      </c>
    </row>
    <row r="26" spans="1:16" x14ac:dyDescent="0.3">
      <c r="A26" t="s">
        <v>78</v>
      </c>
      <c r="B26">
        <v>145</v>
      </c>
      <c r="C26">
        <v>4</v>
      </c>
      <c r="D26">
        <v>36</v>
      </c>
      <c r="E26">
        <f t="shared" si="13"/>
        <v>0.97315436241610742</v>
      </c>
      <c r="F26">
        <f t="shared" si="14"/>
        <v>0.80110497237569056</v>
      </c>
      <c r="G26">
        <f t="shared" si="15"/>
        <v>0.87878787878787878</v>
      </c>
      <c r="I26">
        <f t="shared" si="2"/>
        <v>181</v>
      </c>
      <c r="K26">
        <v>112</v>
      </c>
      <c r="L26">
        <v>3</v>
      </c>
      <c r="M26">
        <v>69</v>
      </c>
      <c r="N26">
        <f t="shared" si="3"/>
        <v>0.97391304347826091</v>
      </c>
      <c r="O26">
        <f t="shared" si="4"/>
        <v>0.61878453038674031</v>
      </c>
      <c r="P26">
        <f t="shared" si="5"/>
        <v>0.7567567567567568</v>
      </c>
    </row>
    <row r="27" spans="1:16" x14ac:dyDescent="0.3">
      <c r="A27" t="s">
        <v>79</v>
      </c>
      <c r="B27">
        <v>111</v>
      </c>
      <c r="C27">
        <v>6</v>
      </c>
      <c r="D27">
        <v>26</v>
      </c>
      <c r="E27">
        <f t="shared" si="13"/>
        <v>0.94871794871794868</v>
      </c>
      <c r="F27">
        <f t="shared" si="14"/>
        <v>0.81021897810218979</v>
      </c>
      <c r="G27">
        <f t="shared" si="15"/>
        <v>0.87401574803149606</v>
      </c>
      <c r="I27">
        <f t="shared" si="2"/>
        <v>137</v>
      </c>
      <c r="K27">
        <v>93</v>
      </c>
      <c r="L27">
        <v>2</v>
      </c>
      <c r="M27">
        <v>44</v>
      </c>
      <c r="N27">
        <f t="shared" si="3"/>
        <v>0.97894736842105268</v>
      </c>
      <c r="O27">
        <f t="shared" si="4"/>
        <v>0.67883211678832112</v>
      </c>
      <c r="P27">
        <f t="shared" si="5"/>
        <v>0.80172413793103459</v>
      </c>
    </row>
    <row r="28" spans="1:16" x14ac:dyDescent="0.3">
      <c r="A28" t="s">
        <v>80</v>
      </c>
      <c r="B28">
        <v>48</v>
      </c>
      <c r="C28">
        <v>0</v>
      </c>
      <c r="D28">
        <v>9</v>
      </c>
      <c r="E28">
        <f t="shared" si="13"/>
        <v>1</v>
      </c>
      <c r="F28">
        <f t="shared" si="14"/>
        <v>0.84210526315789469</v>
      </c>
      <c r="G28">
        <f t="shared" si="15"/>
        <v>0.91428571428571426</v>
      </c>
      <c r="I28">
        <f t="shared" si="2"/>
        <v>57</v>
      </c>
      <c r="K28">
        <v>37</v>
      </c>
      <c r="L28">
        <v>0</v>
      </c>
      <c r="M28">
        <v>20</v>
      </c>
      <c r="N28">
        <f t="shared" si="3"/>
        <v>1</v>
      </c>
      <c r="O28">
        <f t="shared" si="4"/>
        <v>0.64912280701754388</v>
      </c>
      <c r="P28">
        <f t="shared" si="5"/>
        <v>0.78723404255319152</v>
      </c>
    </row>
    <row r="29" spans="1:16" x14ac:dyDescent="0.3">
      <c r="A29" t="s">
        <v>81</v>
      </c>
      <c r="B29">
        <v>67</v>
      </c>
      <c r="C29">
        <v>0</v>
      </c>
      <c r="D29">
        <v>20</v>
      </c>
      <c r="E29">
        <f>B29/(B29+C29)</f>
        <v>1</v>
      </c>
      <c r="F29">
        <f>B29/(B29+D29)</f>
        <v>0.77011494252873558</v>
      </c>
      <c r="G29">
        <f>(2*E29*F29)/(E29+F29)</f>
        <v>0.8701298701298702</v>
      </c>
      <c r="I29">
        <f t="shared" si="2"/>
        <v>87</v>
      </c>
      <c r="K29">
        <v>65</v>
      </c>
      <c r="L29">
        <v>4</v>
      </c>
      <c r="M29">
        <v>22</v>
      </c>
      <c r="N29">
        <f t="shared" si="3"/>
        <v>0.94202898550724634</v>
      </c>
      <c r="O29">
        <f t="shared" si="4"/>
        <v>0.74712643678160917</v>
      </c>
      <c r="P29">
        <f t="shared" si="5"/>
        <v>0.83333333333333337</v>
      </c>
    </row>
    <row r="30" spans="1:16" x14ac:dyDescent="0.3">
      <c r="A30" t="s">
        <v>82</v>
      </c>
      <c r="B30">
        <v>71</v>
      </c>
      <c r="C30">
        <v>3</v>
      </c>
      <c r="D30">
        <v>10</v>
      </c>
      <c r="E30">
        <f>B30/(B30+C30)</f>
        <v>0.95945945945945943</v>
      </c>
      <c r="F30">
        <f>B30/(B30+D30)</f>
        <v>0.87654320987654322</v>
      </c>
      <c r="G30">
        <f>(2*E30*F30)/(E30+F30)</f>
        <v>0.91612903225806441</v>
      </c>
      <c r="I30">
        <f t="shared" si="2"/>
        <v>81</v>
      </c>
      <c r="K30">
        <v>60</v>
      </c>
      <c r="L30">
        <v>9</v>
      </c>
      <c r="M30">
        <v>21</v>
      </c>
      <c r="N30">
        <f t="shared" si="3"/>
        <v>0.86956521739130432</v>
      </c>
      <c r="O30">
        <f t="shared" si="4"/>
        <v>0.7407407407407407</v>
      </c>
      <c r="P30">
        <f t="shared" si="5"/>
        <v>0.79999999999999993</v>
      </c>
    </row>
    <row r="32" spans="1:16" x14ac:dyDescent="0.3">
      <c r="E32">
        <f>AVERAGE(E2:E30)</f>
        <v>0.97539380550047783</v>
      </c>
      <c r="F32">
        <f>AVERAGE(F2:F30)</f>
        <v>0.82053673349463974</v>
      </c>
      <c r="G32">
        <f>AVERAGE(G2:G30)</f>
        <v>0.89034864592334628</v>
      </c>
      <c r="N32">
        <f>AVERAGE(N2:N30)</f>
        <v>0.93163342866490828</v>
      </c>
      <c r="O32">
        <f>AVERAGE(O2:O30)</f>
        <v>0.67980881417601224</v>
      </c>
      <c r="P32">
        <f>AVERAGE(P2:P30)</f>
        <v>0.7829188953026347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Big Colonies</vt:lpstr>
      <vt:lpstr>Hard</vt:lpstr>
      <vt:lpstr>Sparse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W</dc:creator>
  <cp:lastModifiedBy>M W</cp:lastModifiedBy>
  <dcterms:created xsi:type="dcterms:W3CDTF">2025-08-20T19:26:47Z</dcterms:created>
  <dcterms:modified xsi:type="dcterms:W3CDTF">2026-05-03T22:20:25Z</dcterms:modified>
</cp:coreProperties>
</file>